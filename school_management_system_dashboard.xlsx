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8e6a4452a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d73969554843dd"/>
    <x:sheet xmlns:r="http://schemas.openxmlformats.org/officeDocument/2006/relationships" name="Students" sheetId="2" r:id="R1b732d12db7848a3"/>
    <x:sheet xmlns:r="http://schemas.openxmlformats.org/officeDocument/2006/relationships" name="Teachers" sheetId="3" r:id="R435eb888bae84f04"/>
    <x:sheet xmlns:r="http://schemas.openxmlformats.org/officeDocument/2006/relationships" name="Attendance" sheetId="4" r:id="R030b6b67650c4170"/>
    <x:sheet xmlns:r="http://schemas.openxmlformats.org/officeDocument/2006/relationships" name="Fees" sheetId="5" r:id="Rbfb0486f1c5f4818"/>
    <x:sheet xmlns:r="http://schemas.openxmlformats.org/officeDocument/2006/relationships" name="Lists" sheetId="6" r:id="R9c5b5ca05d44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dd-mmm-yyyy"/>
  </x:numFmts>
  <x:fonts count="10">
    <x:font>
      <x:sz val="11"/>
      <x:name val="Carlito"/>
    </x:font>
    <x:font>
      <x:b/>
      <x:sz val="11"/>
      <x:color rgb="FFFFFF"/>
      <x:name val="Carlito"/>
    </x:font>
    <x:font>
      <x:b/>
      <x:sz val="20"/>
      <x:color rgb="FFFFFF"/>
      <x:name val="Carlito"/>
    </x:font>
    <x:font>
      <x:i/>
      <x:sz val="11"/>
      <x:color rgb="0369A1"/>
      <x:name val="Carlito"/>
    </x:font>
    <x:font>
      <x:b/>
      <x:sz val="11"/>
      <x:color rgb="334155"/>
      <x:name val="Carlito"/>
    </x:font>
    <x:font>
      <x:b/>
      <x:sz val="10"/>
      <x:color rgb="334155"/>
      <x:name val="Carlito"/>
    </x:font>
    <x:font>
      <x:b/>
      <x:sz val="18"/>
      <x:color rgb="0F172A"/>
      <x:name val="Carlito"/>
    </x:font>
    <x:font>
      <x:sz val="9"/>
      <x:color rgb="64748B"/>
      <x:name val="Carlito"/>
    </x:font>
    <x:font>
      <x:b/>
      <x:sz val="13"/>
      <x:color rgb="FFFFFF"/>
      <x:name val="Carlito"/>
    </x:font>
    <x:font>
      <x:sz val="11"/>
      <x:color rgb="33415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23B5D"/>
      </x:patternFill>
    </x:fill>
    <x:fill>
      <x:patternFill patternType="solid">
        <x:fgColor rgb="7C2D12"/>
      </x:patternFill>
    </x:fill>
    <x:fill>
      <x:patternFill patternType="solid">
        <x:fgColor rgb="0F4C81"/>
      </x:patternFill>
    </x:fill>
    <x:fill>
      <x:patternFill patternType="solid">
        <x:fgColor rgb="134E4A"/>
      </x:patternFill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1E293B"/>
      </x:patternFill>
    </x:fill>
    <x:fill>
      <x:patternFill patternType="solid">
        <x:fgColor rgb="ECFDF5"/>
      </x:patternFill>
    </x:fill>
  </x:fills>
  <x:borders count="2">
    <x:border/>
    <x:border/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left" wrapText="1"/>
    </x:xf>
    <x:xf numFmtId="0" fontId="4" fillId="8" borderId="0" xfId="0" applyNumberFormat="1" applyFont="1" applyFill="1" applyBorder="1" applyAlignment="1">
      <x:alignment horizontal="left" vertical="top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left" wrapText="1"/>
    </x:xf>
    <x:xf numFmtId="0" fontId="4" fillId="8" borderId="1" xfId="0" applyNumberFormat="1" applyFont="1" applyFill="1" applyBorder="1" applyAlignment="1">
      <x:alignment horizontal="left" vertical="top" wrapText="1"/>
    </x:xf>
    <x:xf numFmtId="0" fontId="5" fillId="8" borderId="0" xfId="0" applyNumberFormat="1" applyFont="1" applyFill="1" applyBorder="1" applyAlignment="1">
      <x:alignment horizontal="left" vertical="top" wrapText="1"/>
    </x:xf>
    <x:xf numFmtId="0" fontId="5" fillId="8" borderId="1" xfId="0" applyNumberFormat="1" applyFont="1" applyFill="1" applyBorder="1" applyAlignment="1">
      <x:alignment horizontal="left" vertical="top" wrapText="1"/>
    </x:xf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1" fontId="6" fillId="8" borderId="0" xfId="0" applyNumberFormat="1" applyFont="1" applyFill="1" applyBorder="1"/>
    <x:xf numFmtId="201" fontId="6" fillId="8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201" fontId="0" fillId="8" borderId="0" xfId="0" applyNumberFormat="1" applyFont="1" applyFill="1" applyBorder="1" applyAlignment="1">
      <x:alignment vertical="center"/>
    </x:xf>
    <x:xf numFmtId="201" fontId="0" fillId="8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0" fillId="10" borderId="1" xfId="0" applyNumberFormat="1" applyFont="1" applyFill="1" applyBorder="1"/>
    <x:xf numFmtId="201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201" fontId="6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horizontal="center" wrapText="1"/>
    </x:xf>
    <x:xf numFmtId="201" fontId="6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1" fontId="6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201" fontId="6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wrapText="1"/>
    </x:xf>
    <x:xf numFmtId="201" fontId="6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201" fontId="6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075985"/>
      </x:font>
      <x:fill>
        <x:patternFill patternType="solid">
          <x:bgColor rgb="E0F2FE"/>
        </x:patternFill>
      </x:fill>
    </x:dxf>
    <x:dxf>
      <x:font>
        <x:b/>
        <x:color rgb="9D174D"/>
      </x:font>
      <x:fill>
        <x:patternFill patternType="solid">
          <x:bgColor rgb="FCE7F3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257218e694069" /><Relationship Type="http://schemas.openxmlformats.org/officeDocument/2006/relationships/theme" Target="/xl/theme/theme1.xml" Id="Rcd3af5382d254777" /><Relationship Type="http://schemas.openxmlformats.org/officeDocument/2006/relationships/sharedStrings" Target="/xl/sharedStrings.xml" Id="R930e78f4ccb74632" /><Relationship Type="http://schemas.openxmlformats.org/officeDocument/2006/relationships/worksheet" Target="/xl/worksheets/sheet1.xml" Id="R68d73969554843dd" /><Relationship Type="http://schemas.openxmlformats.org/officeDocument/2006/relationships/worksheet" Target="/xl/worksheets/sheet2.xml" Id="R1b732d12db7848a3" /><Relationship Type="http://schemas.openxmlformats.org/officeDocument/2006/relationships/worksheet" Target="/xl/worksheets/sheet3.xml" Id="R435eb888bae84f04" /><Relationship Type="http://schemas.openxmlformats.org/officeDocument/2006/relationships/worksheet" Target="/xl/worksheets/sheet4.xml" Id="R030b6b67650c4170" /><Relationship Type="http://schemas.openxmlformats.org/officeDocument/2006/relationships/worksheet" Target="/xl/worksheets/sheet5.xml" Id="Rbfb0486f1c5f4818" /><Relationship Type="http://schemas.openxmlformats.org/officeDocument/2006/relationships/worksheet" Target="/xl/worksheets/sheet6.xml" Id="R9c5b5ca05d444d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1a1f5684e94dfe" /><Relationship Type="http://schemas.openxmlformats.org/officeDocument/2006/relationships/chart" Target="/xl/drawings/charts/chart2.xml" Id="R1ff04d9605074776" /><Relationship Type="http://schemas.openxmlformats.org/officeDocument/2006/relationships/chart" Target="/xl/drawings/charts/chart3.xml" Id="R495248e1f6c147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Fee Status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'Dashboard'!$H$13:$H$15</c:f>
              <c:strCache>
                <c:ptCount val="0"/>
              </c:strCache>
            </c:strRef>
          </c:cat>
          <c:val>
            <c:numRef>
              <c:f>'Dashboard'!$I$13:$I$15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Today's Attendance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'Dashboard'!$K$13:$K$15</c:f>
              <c:strCache>
                <c:ptCount val="0"/>
              </c:strCache>
            </c:strRef>
          </c:cat>
          <c:val>
            <c:numRef>
              <c:f>'Dashboard'!$L$13:$L$15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Collected vs Pending Fees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'Dashboard'!$H$34:$H$35</c:f>
              <c:strCache>
                <c:ptCount val="0"/>
              </c:strCache>
            </c:strRef>
          </c:cat>
          <c:val>
            <c:numRef>
              <c:f>'Dashboard'!$I$34:$I$35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16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1a1f5684e94dfe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f04d9605074776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248e1f6c147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sTable" displayName="StudentsTable" ref="A1:R56" headerRowCount="1">
  <x:tableColumns count="18">
    <x:tableColumn id="1" name="S.No"/>
    <x:tableColumn id="2" name="Student ID"/>
    <x:tableColumn id="3" name="Student Name"/>
    <x:tableColumn id="4" name="Father Name"/>
    <x:tableColumn id="5" name="Class"/>
    <x:tableColumn id="6" name="Section"/>
    <x:tableColumn id="7" name="Roll No"/>
    <x:tableColumn id="8" name="Total Classes"/>
    <x:tableColumn id="9" name="Present Days"/>
    <x:tableColumn id="10" name="Attendance %"/>
    <x:tableColumn id="11" name="Eligibility"/>
    <x:tableColumn id="12" name="Contact"/>
    <x:tableColumn id="13" name="Address"/>
    <x:tableColumn id="14" name="Fee Amount"/>
    <x:tableColumn id="15" name="Paid Amount"/>
    <x:tableColumn id="16" name="Pending"/>
    <x:tableColumn id="17" name="Fee Status"/>
    <x:tableColumn id="18" name="Admission Date"/>
  </x:tableColumns>
  <x:tableStyleInfo name="TableStyleMedium2" showRowStripes="1"/>
</x:table>
</file>

<file path=xl/tables/table2.xml><?xml version="1.0" encoding="utf-8"?>
<x:table xmlns:x="http://schemas.openxmlformats.org/spreadsheetml/2006/main" id="2" name="TeachersTable" displayName="TeachersTable" ref="A1:J51" headerRowCount="1">
  <x:tableColumns count="10">
    <x:tableColumn id="1" name="S.No"/>
    <x:tableColumn id="2" name="Teacher Name"/>
    <x:tableColumn id="3" name="Father Name"/>
    <x:tableColumn id="4" name="Subject"/>
    <x:tableColumn id="5" name="Qualification"/>
    <x:tableColumn id="6" name="Joining Date"/>
    <x:tableColumn id="7" name="Monthly Salary"/>
    <x:tableColumn id="8" name="Status"/>
    <x:tableColumn id="9" name="Address"/>
    <x:tableColumn id="10" name="Contact"/>
  </x:tableColumns>
  <x:tableStyleInfo name="TableStyleMedium2" showRowStripes="1"/>
</x:table>
</file>

<file path=xl/tables/table3.xml><?xml version="1.0" encoding="utf-8"?>
<x:table xmlns:x="http://schemas.openxmlformats.org/spreadsheetml/2006/main" id="3" name="AttendanceTable" displayName="AttendanceTable" ref="A1:J56" headerRowCount="1">
  <x:tableColumns count="10">
    <x:tableColumn id="1" name="S.No"/>
    <x:tableColumn id="2" name="Date"/>
    <x:tableColumn id="3" name="Student ID"/>
    <x:tableColumn id="4" name="Student Name"/>
    <x:tableColumn id="5" name="Father Name"/>
    <x:tableColumn id="6" name="Attendance"/>
    <x:tableColumn id="7" name="Leave Status"/>
    <x:tableColumn id="8" name="Late Status"/>
    <x:tableColumn id="9" name="Contact"/>
    <x:tableColumn id="10" name="Remarks"/>
  </x:tableColumns>
  <x:tableStyleInfo name="TableStyleMedium2" showRowStripes="1"/>
</x:table>
</file>

<file path=xl/tables/table4.xml><?xml version="1.0" encoding="utf-8"?>
<x:table xmlns:x="http://schemas.openxmlformats.org/spreadsheetml/2006/main" id="4" name="FeesTable" displayName="FeesTable" ref="A1:J56" headerRowCount="1">
  <x:tableColumns count="10">
    <x:tableColumn id="1" name="S.No"/>
    <x:tableColumn id="2" name="Student ID"/>
    <x:tableColumn id="3" name="Student Name"/>
    <x:tableColumn id="4" name="Month"/>
    <x:tableColumn id="5" name="Total Fees"/>
    <x:tableColumn id="6" name="Paid Amount"/>
    <x:tableColumn id="7" name="Pending Amount"/>
    <x:tableColumn id="8" name="Status"/>
    <x:tableColumn id="9" name="Contact"/>
    <x:tableColumn id="10" name="Payment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482ae54ccc45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acf364a9d41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798fb0436a42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87fd598c0e46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986a2153a54f3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3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42" customHeight="1">
      <x:c r="A1" s="55" t="str">
        <x:v>SCHOOL MANAGEMENT DASHBOARD</x:v>
      </x:c>
    </x:row>
    <x:row r="2" ht="25" customHeight="1">
      <x:c r="A2" s="62" t="str">
        <x:v>Students • Teachers • Attendance • Fees | Excel Based Management System</x:v>
      </x:c>
    </x:row>
    <x:row r="4">
      <x:c r="A4" s="119" t="str">
        <x:v>👥  Total Students</x:v>
      </x:c>
      <x:c r="B4" s="120"/>
      <x:c r="C4" s="120"/>
      <x:c r="D4" s="119" t="str">
        <x:v>👩‍🏫  Total Teachers</x:v>
      </x:c>
      <x:c r="E4" s="120"/>
      <x:c r="F4" s="120"/>
      <x:c r="G4" s="119" t="str">
        <x:v>💰  Total Fees</x:v>
      </x:c>
      <x:c r="H4" s="120"/>
      <x:c r="I4" s="120"/>
      <x:c r="J4" s="119" t="str">
        <x:v>✅  Collected</x:v>
      </x:c>
      <x:c r="K4" s="120"/>
      <x:c r="L4" s="120"/>
    </x:row>
    <x:row r="5">
      <x:c r="A5" s="121" t="n">
        <x:f>COUNTA(Students!B2:B56)</x:f>
        <x:v>55</x:v>
      </x:c>
      <x:c r="B5" s="120"/>
      <x:c r="C5" s="120"/>
      <x:c r="D5" s="121" t="n">
        <x:f>COUNTA(Teachers!B2:B51)</x:f>
        <x:v>50</x:v>
      </x:c>
      <x:c r="E5" s="120"/>
      <x:c r="F5" s="120"/>
      <x:c r="G5" s="121" t="n">
        <x:f>SUM(Fees!E2:E56)</x:f>
        <x:v>106700</x:v>
      </x:c>
      <x:c r="H5" s="120"/>
      <x:c r="I5" s="120"/>
      <x:c r="J5" s="121" t="n">
        <x:f>SUM(Fees!F2:F56)</x:f>
        <x:v>100300</x:v>
      </x:c>
      <x:c r="K5" s="120"/>
      <x:c r="L5" s="120"/>
    </x:row>
    <x:row r="6">
      <x:c r="A6" s="122" t="str">
        <x:v>Auto-calculated</x:v>
      </x:c>
      <x:c r="B6" s="120"/>
      <x:c r="C6" s="120"/>
      <x:c r="D6" s="122" t="str">
        <x:v>Auto-calculated</x:v>
      </x:c>
      <x:c r="E6" s="120"/>
      <x:c r="F6" s="120"/>
      <x:c r="G6" s="122" t="str">
        <x:v>Auto-calculated</x:v>
      </x:c>
      <x:c r="H6" s="120"/>
      <x:c r="I6" s="120"/>
      <x:c r="J6" s="122" t="str">
        <x:v>Auto-calculated</x:v>
      </x:c>
      <x:c r="K6" s="120"/>
      <x:c r="L6" s="120"/>
    </x:row>
    <x:row r="8">
      <x:c r="A8" s="119" t="str">
        <x:v>⏳  Pending</x:v>
      </x:c>
      <x:c r="B8" s="120"/>
      <x:c r="C8" s="120"/>
      <x:c r="D8" s="119" t="str">
        <x:v>🟢  Present Today</x:v>
      </x:c>
      <x:c r="E8" s="120"/>
      <x:c r="F8" s="120"/>
      <x:c r="G8" s="119" t="str">
        <x:v>🔴  Absent Today</x:v>
      </x:c>
      <x:c r="H8" s="120"/>
      <x:c r="I8" s="120"/>
      <x:c r="J8" s="119" t="str">
        <x:v>🏦  Teacher Salary</x:v>
      </x:c>
      <x:c r="K8" s="120"/>
      <x:c r="L8" s="120"/>
    </x:row>
    <x:row r="9">
      <x:c r="A9" s="121" t="n">
        <x:f>SUM(Fees!G2:G56)</x:f>
        <x:v>6400</x:v>
      </x:c>
      <x:c r="B9" s="120"/>
      <x:c r="C9" s="120"/>
      <x:c r="D9" s="121" t="n">
        <x:f>COUNTIF(Attendance!F2:F56,"Present")</x:f>
        <x:v>38</x:v>
      </x:c>
      <x:c r="E9" s="120"/>
      <x:c r="F9" s="120"/>
      <x:c r="G9" s="121" t="n">
        <x:f>COUNTIF(Attendance!F2:F56,"Absent")</x:f>
        <x:v>17</x:v>
      </x:c>
      <x:c r="H9" s="120"/>
      <x:c r="I9" s="120"/>
      <x:c r="J9" s="121" t="n">
        <x:f>SUM(Teachers!G2:G51)</x:f>
        <x:v>3907500</x:v>
      </x:c>
      <x:c r="K9" s="120"/>
      <x:c r="L9" s="120"/>
    </x:row>
    <x:row r="10">
      <x:c r="A10" s="122" t="str">
        <x:v>Auto-calculated</x:v>
      </x:c>
      <x:c r="B10" s="120"/>
      <x:c r="C10" s="120"/>
      <x:c r="D10" s="122" t="str">
        <x:v>Auto-calculated</x:v>
      </x:c>
      <x:c r="E10" s="120"/>
      <x:c r="F10" s="120"/>
      <x:c r="G10" s="122" t="str">
        <x:v>Auto-calculated</x:v>
      </x:c>
      <x:c r="H10" s="120"/>
      <x:c r="I10" s="120"/>
      <x:c r="J10" s="122" t="str">
        <x:v>Auto-calculated</x:v>
      </x:c>
      <x:c r="K10" s="120"/>
      <x:c r="L10" s="120"/>
    </x:row>
    <x:row r="12">
      <x:c r="A12" s="85" t="str">
        <x:v>Quick Summary</x:v>
      </x:c>
      <x:c r="H12" s="41" t="str">
        <x:v>Fee Status</x:v>
      </x:c>
      <x:c r="I12" s="41" t="str">
        <x:v>Count</x:v>
      </x:c>
      <x:c r="K12" s="29" t="str">
        <x:v>Attendance</x:v>
      </x:c>
      <x:c r="L12" s="29" t="str">
        <x:v>Count</x:v>
      </x:c>
    </x:row>
    <x:row r="13">
      <x:c r="A13" s="90" t="str">
        <x:v>Metric</x:v>
      </x:c>
      <x:c r="B13" s="90" t="str">
        <x:v>Value</x:v>
      </x:c>
      <x:c r="H13" s="66" t="str">
        <x:v>Paid</x:v>
      </x:c>
      <x:c r="I13" s="66" t="n">
        <x:f>COUNTIF(Fees!H2:H56,"PAID")</x:f>
        <x:v>42</x:v>
      </x:c>
      <x:c r="K13" s="66" t="str">
        <x:v>Present</x:v>
      </x:c>
      <x:c r="L13" s="66" t="n">
        <x:f>COUNTIF(Attendance!F2:F56,"Present")</x:f>
        <x:v>38</x:v>
      </x:c>
    </x:row>
    <x:row r="14">
      <x:c r="A14" s="94" t="str">
        <x:v>Paid Students</x:v>
      </x:c>
      <x:c r="B14" s="96" t="n">
        <x:f>COUNTIF(Fees!H2:H56,"PAID")</x:f>
        <x:v>42</x:v>
      </x:c>
      <x:c r="H14" s="66" t="str">
        <x:v>Partial</x:v>
      </x:c>
      <x:c r="I14" s="66" t="n">
        <x:f>COUNTIF(Fees!H2:H56,"PARTIAL")</x:f>
        <x:v>13</x:v>
      </x:c>
      <x:c r="K14" s="66" t="str">
        <x:v>Absent</x:v>
      </x:c>
      <x:c r="L14" s="66" t="n">
        <x:f>COUNTIF(Attendance!F2:F56,"Absent")</x:f>
        <x:v>17</x:v>
      </x:c>
    </x:row>
    <x:row r="15">
      <x:c r="A15" s="94" t="str">
        <x:v>Partial/Unpaid</x:v>
      </x:c>
      <x:c r="B15" s="96" t="n">
        <x:f>COUNTIF(Fees!H2:H56,"PARTIAL")+COUNTIF(Fees!H2:H56,"UNPAID")</x:f>
        <x:v>13</x:v>
      </x:c>
      <x:c r="H15" s="66" t="str">
        <x:v>Unpaid</x:v>
      </x:c>
      <x:c r="I15" s="66" t="n">
        <x:f>COUNTIF(Fees!H2:H56,"UNPAID")</x:f>
        <x:v>0</x:v>
      </x:c>
      <x:c r="K15" s="66" t="str">
        <x:v>Leave</x:v>
      </x:c>
      <x:c r="L15" s="66" t="n">
        <x:f>COUNTIF(Attendance!G2:G56,"Leave")</x:f>
        <x:v>11</x:v>
      </x:c>
    </x:row>
    <x:row r="16">
      <x:c r="A16" s="94" t="str">
        <x:v>Eligible Students</x:v>
      </x:c>
      <x:c r="B16" s="96" t="n">
        <x:f>COUNTIF(Students!K2:K56,"ELIGIBLE")</x:f>
        <x:v>34</x:v>
      </x:c>
    </x:row>
    <x:row r="17">
      <x:c r="A17" s="94" t="str">
        <x:v>Not Eligible</x:v>
      </x:c>
      <x:c r="B17" s="96" t="n">
        <x:f>COUNTIF(Students!K2:K56,"NOT ELIGIBLE")</x:f>
        <x:v>21</x:v>
      </x:c>
    </x:row>
    <x:row r="18">
      <x:c r="A18" s="94" t="str">
        <x:v>Late Students</x:v>
      </x:c>
      <x:c r="B18" s="96" t="n">
        <x:f>COUNTIF(Attendance!H2:H56,"Late")</x:f>
        <x:v>15</x:v>
      </x:c>
    </x:row>
    <x:row r="19">
      <x:c r="A19" s="94" t="str">
        <x:v>On Time Students</x:v>
      </x:c>
      <x:c r="B19" s="96" t="n">
        <x:f>COUNTIF(Attendance!H2:H56,"On Time")</x:f>
        <x:v>23</x:v>
      </x:c>
    </x:row>
    <x:row r="21">
      <x:c r="A21" s="42" t="str">
        <x:v>Fee Collection Rate</x:v>
      </x:c>
    </x:row>
    <x:row r="22">
      <x:c r="A22" s="100" t="str">
        <x:v>Collected</x:v>
      </x:c>
      <x:c r="B22" s="101" t="n">
        <x:f>SUM(Fees!F2:F56)</x:f>
        <x:v>100300</x:v>
      </x:c>
    </x:row>
    <x:row r="23">
      <x:c r="A23" s="100" t="str">
        <x:v>Pending</x:v>
      </x:c>
      <x:c r="B23" s="101" t="n">
        <x:f>SUM(Fees!G2:G56)</x:f>
        <x:v>6400</x:v>
      </x:c>
    </x:row>
    <x:row r="24">
      <x:c r="A24" s="100" t="str">
        <x:v>Collection %</x:v>
      </x:c>
      <x:c r="B24" s="102" t="n">
        <x:f>B22/(B22+B23)</x:f>
        <x:v>0.9400187441424555</x:v>
      </x:c>
    </x:row>
    <x:row r="33">
      <x:c r="H33" s="41" t="str">
        <x:v>Amount</x:v>
      </x:c>
      <x:c r="I33" s="41" t="str">
        <x:v>Value</x:v>
      </x:c>
    </x:row>
    <x:row r="34">
      <x:c r="H34" t="str">
        <x:v>Collected</x:v>
      </x:c>
      <x:c r="I34" t="n">
        <x:f>SUM(Fees!F2:F56)</x:f>
        <x:v>100300</x:v>
      </x:c>
    </x:row>
    <x:row r="35">
      <x:c r="H35" t="str">
        <x:v>Pending</x:v>
      </x:c>
      <x:c r="I35" t="n">
        <x:f>SUM(Fees!G2:G56)</x:f>
        <x:v>6400</x:v>
      </x:c>
    </x:row>
    <x:row r="44">
      <x:c r="A44" s="90" t="str">
        <x:v>How to use</x:v>
      </x:c>
    </x:row>
    <x:row r="45">
      <x:c r="A45" s="108" t="str">
        <x:v>Update Students, Teachers, Attendance and Fees sheets. Dashboard KPIs, formulas and charts will update automatically. Dropdowns are added for status fields and conditional colors highlight paid/unpaid, present/absent, and eligibility.</x:v>
      </x:c>
    </x:row>
  </x:sheetData>
  <x:mergeCells>
    <x:mergeCell ref="A1:N1"/>
    <x:mergeCell ref="A2:N2"/>
    <x:mergeCell ref="A12:F12"/>
    <x:mergeCell ref="A21:D21"/>
    <x:mergeCell ref="A44:F44"/>
    <x:mergeCell ref="A45:F48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8:C8"/>
    <x:mergeCell ref="A9:C9"/>
    <x:mergeCell ref="A10:C10"/>
    <x:mergeCell ref="D8:F8"/>
    <x:mergeCell ref="D9:F9"/>
    <x:mergeCell ref="D10:F10"/>
    <x:mergeCell ref="G8:I8"/>
    <x:mergeCell ref="G9:I9"/>
    <x:mergeCell ref="G10:I10"/>
    <x:mergeCell ref="J8:L8"/>
    <x:mergeCell ref="J9:L9"/>
    <x:mergeCell ref="J10:L10"/>
  </x:mergeCells>
  <x:conditionalFormatting sqref="B24:B24">
    <x:cfRule type="dataBar" priority="1">
      <x:dataBar>
        <x:cfvo type="min"/>
        <x:cfvo type="max"/>
        <x:color rgb="10B981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5482ae54ccc456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10B981"/>
            </x14:dataBar>
          </x14:cfRule>
          <xm:sqref>B24:B24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22" hidden="0" customWidth="1"/>
    <x:col min="5" max="5" width="12" hidden="0" customWidth="1"/>
    <x:col min="6" max="6" width="9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32" hidden="0" customWidth="1"/>
    <x:col min="14" max="14" width="13" hidden="0" customWidth="1"/>
    <x:col min="15" max="15" width="13" hidden="0" customWidth="1"/>
    <x:col min="16" max="16" width="12" hidden="0" customWidth="1"/>
    <x:col min="17" max="17" width="12" hidden="0" customWidth="1"/>
    <x:col min="18" max="18" width="14" hidden="0" customWidth="1"/>
  </x:cols>
  <x:sheetData>
    <x:row r="1" ht="28" customHeight="1">
      <x:c r="A1" s="8" t="str">
        <x:v>S.No</x:v>
      </x:c>
      <x:c r="B1" s="8" t="str">
        <x:v>Student ID</x:v>
      </x:c>
      <x:c r="C1" s="8" t="str">
        <x:v>Student Name</x:v>
      </x:c>
      <x:c r="D1" s="8" t="str">
        <x:v>Father Name</x:v>
      </x:c>
      <x:c r="E1" s="8" t="str">
        <x:v>Class</x:v>
      </x:c>
      <x:c r="F1" s="8" t="str">
        <x:v>Section</x:v>
      </x:c>
      <x:c r="G1" s="8" t="str">
        <x:v>Roll No</x:v>
      </x:c>
      <x:c r="H1" s="8" t="str">
        <x:v>Total Classes</x:v>
      </x:c>
      <x:c r="I1" s="8" t="str">
        <x:v>Present Days</x:v>
      </x:c>
      <x:c r="J1" s="8" t="str">
        <x:v>Attendance %</x:v>
      </x:c>
      <x:c r="K1" s="8" t="str">
        <x:v>Eligibility</x:v>
      </x:c>
      <x:c r="L1" s="8" t="str">
        <x:v>Contact</x:v>
      </x:c>
      <x:c r="M1" s="8" t="str">
        <x:v>Address</x:v>
      </x:c>
      <x:c r="N1" s="8" t="str">
        <x:v>Fee Amount</x:v>
      </x:c>
      <x:c r="O1" s="8" t="str">
        <x:v>Paid Amount</x:v>
      </x:c>
      <x:c r="P1" s="8" t="str">
        <x:v>Pending</x:v>
      </x:c>
      <x:c r="Q1" s="8" t="str">
        <x:v>Fee Status</x:v>
      </x:c>
      <x:c r="R1" s="8" t="str">
        <x:v>Admission Date</x:v>
      </x:c>
    </x:row>
    <x:row r="2">
      <x:c r="A2" s="11" t="n">
        <x:v>1</x:v>
      </x:c>
      <x:c r="B2" s="11" t="str">
        <x:v>ST001</x:v>
      </x:c>
      <x:c r="C2" s="11" t="str">
        <x:v>Abdullah</x:v>
      </x:c>
      <x:c r="D2" s="11" t="str">
        <x:v>Muhammad Aslam</x:v>
      </x:c>
      <x:c r="E2" s="11" t="str">
        <x:v>Class 3</x:v>
      </x:c>
      <x:c r="F2" s="11" t="str">
        <x:v>A</x:v>
      </x:c>
      <x:c r="G2" s="11" t="n">
        <x:v>1035</x:v>
      </x:c>
      <x:c r="H2" s="11" t="n">
        <x:v>100</x:v>
      </x:c>
      <x:c r="I2" s="11" t="n">
        <x:v>55</x:v>
      </x:c>
      <x:c r="J2" s="14" t="n">
        <x:f>IF(H2=0,0,I2/H2)</x:f>
        <x:v>0.55</x:v>
      </x:c>
      <x:c r="K2" s="11" t="str">
        <x:f>IF(J2&gt;=0.7,"ELIGIBLE","NOT ELIGIBLE")</x:f>
        <x:v>NOT ELIGIBLE</x:v>
      </x:c>
      <x:c r="L2" s="11" t="str">
        <x:v>0300-1000001</x:v>
      </x:c>
      <x:c r="M2" s="11" t="str">
        <x:v>Gulshan-e-Iqbal, Karachi</x:v>
      </x:c>
      <x:c r="N2" s="16" t="n">
        <x:v>1000</x:v>
      </x:c>
      <x:c r="O2" s="16" t="n">
        <x:v>500</x:v>
      </x:c>
      <x:c r="P2" s="16" t="n">
        <x:f>N2-O2</x:f>
        <x:v>500</x:v>
      </x:c>
      <x:c r="Q2" s="11" t="str">
        <x:f>IF(P2&lt;=0,"PAID",IF(O2=0,"UNPAID","PARTIAL"))</x:f>
        <x:v>PARTIAL</x:v>
      </x:c>
      <x:c r="R2" s="18" t="n">
        <x:v>46023</x:v>
      </x:c>
    </x:row>
    <x:row r="3">
      <x:c r="A3" s="11" t="n">
        <x:v>2</x:v>
      </x:c>
      <x:c r="B3" s="11" t="str">
        <x:v>ST002</x:v>
      </x:c>
      <x:c r="C3" s="11" t="str">
        <x:v>Adnan</x:v>
      </x:c>
      <x:c r="D3" s="11" t="str">
        <x:v>Muhammad Iqbal</x:v>
      </x:c>
      <x:c r="E3" s="11" t="str">
        <x:v>Class 8</x:v>
      </x:c>
      <x:c r="F3" s="11" t="str">
        <x:v>C</x:v>
      </x:c>
      <x:c r="G3" s="11" t="n">
        <x:v>1012</x:v>
      </x:c>
      <x:c r="H3" s="11" t="n">
        <x:v>100</x:v>
      </x:c>
      <x:c r="I3" s="11" t="n">
        <x:v>70</x:v>
      </x:c>
      <x:c r="J3" s="14" t="n">
        <x:f>IF(H3=0,0,I3/H3)</x:f>
        <x:v>0.7</x:v>
      </x:c>
      <x:c r="K3" s="11" t="str">
        <x:f>IF(J3&gt;=0.7,"ELIGIBLE","NOT ELIGIBLE")</x:f>
        <x:v>ELIGIBLE</x:v>
      </x:c>
      <x:c r="L3" s="11" t="str">
        <x:v>0300-1000002</x:v>
      </x:c>
      <x:c r="M3" s="11" t="str">
        <x:v>Liaquatabad, Karachi</x:v>
      </x:c>
      <x:c r="N3" s="16" t="n">
        <x:v>1200</x:v>
      </x:c>
      <x:c r="O3" s="16" t="n">
        <x:v>1000</x:v>
      </x:c>
      <x:c r="P3" s="16" t="n">
        <x:f>N3-O3</x:f>
        <x:v>200</x:v>
      </x:c>
      <x:c r="Q3" s="11" t="str">
        <x:f>IF(P3&lt;=0,"PAID",IF(O3=0,"UNPAID","PARTIAL"))</x:f>
        <x:v>PARTIAL</x:v>
      </x:c>
      <x:c r="R3" s="18" t="n">
        <x:v>46024</x:v>
      </x:c>
    </x:row>
    <x:row r="4">
      <x:c r="A4" s="11" t="n">
        <x:v>3</x:v>
      </x:c>
      <x:c r="B4" s="11" t="str">
        <x:v>ST003</x:v>
      </x:c>
      <x:c r="C4" s="11" t="str">
        <x:v>Ahmed</x:v>
      </x:c>
      <x:c r="D4" s="11" t="str">
        <x:v>Abdul Rehman</x:v>
      </x:c>
      <x:c r="E4" s="11" t="str">
        <x:v>Class 1</x:v>
      </x:c>
      <x:c r="F4" s="11" t="str">
        <x:v>B</x:v>
      </x:c>
      <x:c r="G4" s="11" t="n">
        <x:v>1058</x:v>
      </x:c>
      <x:c r="H4" s="11" t="n">
        <x:v>100</x:v>
      </x:c>
      <x:c r="I4" s="11" t="n">
        <x:v>67</x:v>
      </x:c>
      <x:c r="J4" s="14" t="n">
        <x:f>IF(H4=0,0,I4/H4)</x:f>
        <x:v>0.67</x:v>
      </x:c>
      <x:c r="K4" s="11" t="str">
        <x:f>IF(J4&gt;=0.7,"ELIGIBLE","NOT ELIGIBLE")</x:f>
        <x:v>NOT ELIGIBLE</x:v>
      </x:c>
      <x:c r="L4" s="11" t="str">
        <x:v>0300-1000003</x:v>
      </x:c>
      <x:c r="M4" s="11" t="str">
        <x:v>Nazimabad, Karachi</x:v>
      </x:c>
      <x:c r="N4" s="16" t="n">
        <x:v>1500</x:v>
      </x:c>
      <x:c r="O4" s="16" t="n">
        <x:v>1200</x:v>
      </x:c>
      <x:c r="P4" s="16" t="n">
        <x:f>N4-O4</x:f>
        <x:v>300</x:v>
      </x:c>
      <x:c r="Q4" s="11" t="str">
        <x:f>IF(P4&lt;=0,"PAID",IF(O4=0,"UNPAID","PARTIAL"))</x:f>
        <x:v>PARTIAL</x:v>
      </x:c>
      <x:c r="R4" s="18" t="n">
        <x:v>46026</x:v>
      </x:c>
    </x:row>
    <x:row r="5">
      <x:c r="A5" s="11" t="n">
        <x:v>4</x:v>
      </x:c>
      <x:c r="B5" s="11" t="str">
        <x:v>ST004</x:v>
      </x:c>
      <x:c r="C5" s="11" t="str">
        <x:v>Aleena</x:v>
      </x:c>
      <x:c r="D5" s="11" t="str">
        <x:v>Muhammad Yousaf</x:v>
      </x:c>
      <x:c r="E5" s="11" t="str">
        <x:v>Class 10</x:v>
      </x:c>
      <x:c r="F5" s="11" t="str">
        <x:v>D</x:v>
      </x:c>
      <x:c r="G5" s="11" t="n">
        <x:v>1024</x:v>
      </x:c>
      <x:c r="H5" s="11" t="n">
        <x:v>100</x:v>
      </x:c>
      <x:c r="I5" s="11" t="n">
        <x:v>85</x:v>
      </x:c>
      <x:c r="J5" s="14" t="n">
        <x:f>IF(H5=0,0,I5/H5)</x:f>
        <x:v>0.85</x:v>
      </x:c>
      <x:c r="K5" s="11" t="str">
        <x:f>IF(J5&gt;=0.7,"ELIGIBLE","NOT ELIGIBLE")</x:f>
        <x:v>ELIGIBLE</x:v>
      </x:c>
      <x:c r="L5" s="11" t="str">
        <x:v>0300-1000004</x:v>
      </x:c>
      <x:c r="M5" s="11" t="str">
        <x:v>Malir, Karachi</x:v>
      </x:c>
      <x:c r="N5" s="16" t="n">
        <x:v>2000</x:v>
      </x:c>
      <x:c r="O5" s="16" t="n">
        <x:v>2000</x:v>
      </x:c>
      <x:c r="P5" s="16" t="n">
        <x:f>N5-O5</x:f>
        <x:v>0</x:v>
      </x:c>
      <x:c r="Q5" s="11" t="str">
        <x:f>IF(P5&lt;=0,"PAID",IF(O5=0,"UNPAID","PARTIAL"))</x:f>
        <x:v>PAID</x:v>
      </x:c>
      <x:c r="R5" s="18" t="n">
        <x:v>46028</x:v>
      </x:c>
    </x:row>
    <x:row r="6">
      <x:c r="A6" s="11" t="n">
        <x:v>5</x:v>
      </x:c>
      <x:c r="B6" s="11" t="str">
        <x:v>ST005</x:v>
      </x:c>
      <x:c r="C6" s="11" t="str">
        <x:v>Ali</x:v>
      </x:c>
      <x:c r="D6" s="11" t="str">
        <x:v>Khalid Mehmood</x:v>
      </x:c>
      <x:c r="E6" s="11" t="str">
        <x:v>Class 5</x:v>
      </x:c>
      <x:c r="F6" s="11" t="str">
        <x:v>A</x:v>
      </x:c>
      <x:c r="G6" s="11" t="n">
        <x:v>1071</x:v>
      </x:c>
      <x:c r="H6" s="11" t="n">
        <x:v>100</x:v>
      </x:c>
      <x:c r="I6" s="11" t="n">
        <x:v>60</x:v>
      </x:c>
      <x:c r="J6" s="14" t="n">
        <x:f>IF(H6=0,0,I6/H6)</x:f>
        <x:v>0.6</x:v>
      </x:c>
      <x:c r="K6" s="11" t="str">
        <x:f>IF(J6&gt;=0.7,"ELIGIBLE","NOT ELIGIBLE")</x:f>
        <x:v>NOT ELIGIBLE</x:v>
      </x:c>
      <x:c r="L6" s="11" t="str">
        <x:v>0300-1000005</x:v>
      </x:c>
      <x:c r="M6" s="11" t="str">
        <x:v>Korangi, Karachi</x:v>
      </x:c>
      <x:c r="N6" s="16" t="n">
        <x:v>1800</x:v>
      </x:c>
      <x:c r="O6" s="16" t="n">
        <x:v>1500</x:v>
      </x:c>
      <x:c r="P6" s="16" t="n">
        <x:f>N6-O6</x:f>
        <x:v>300</x:v>
      </x:c>
      <x:c r="Q6" s="11" t="str">
        <x:f>IF(P6&lt;=0,"PAID",IF(O6=0,"UNPAID","PARTIAL"))</x:f>
        <x:v>PARTIAL</x:v>
      </x:c>
      <x:c r="R6" s="18" t="n">
        <x:v>46030</x:v>
      </x:c>
    </x:row>
    <x:row r="7">
      <x:c r="A7" s="11" t="n">
        <x:v>6</x:v>
      </x:c>
      <x:c r="B7" s="11" t="str">
        <x:v>ST006</x:v>
      </x:c>
      <x:c r="C7" s="11" t="str">
        <x:v>Alina</x:v>
      </x:c>
      <x:c r="D7" s="11" t="str">
        <x:v>Muhammad Arshad</x:v>
      </x:c>
      <x:c r="E7" s="11" t="str">
        <x:v>Class 2</x:v>
      </x:c>
      <x:c r="F7" s="11" t="str">
        <x:v>B</x:v>
      </x:c>
      <x:c r="G7" s="11" t="n">
        <x:v>1018</x:v>
      </x:c>
      <x:c r="H7" s="11" t="n">
        <x:v>100</x:v>
      </x:c>
      <x:c r="I7" s="11" t="n">
        <x:v>72</x:v>
      </x:c>
      <x:c r="J7" s="14" t="n">
        <x:f>IF(H7=0,0,I7/H7)</x:f>
        <x:v>0.72</x:v>
      </x:c>
      <x:c r="K7" s="11" t="str">
        <x:f>IF(J7&gt;=0.7,"ELIGIBLE","NOT ELIGIBLE")</x:f>
        <x:v>ELIGIBLE</x:v>
      </x:c>
      <x:c r="L7" s="11" t="str">
        <x:v>0300-1000006</x:v>
      </x:c>
      <x:c r="M7" s="11" t="str">
        <x:v>Clifton, Karachi</x:v>
      </x:c>
      <x:c r="N7" s="16" t="n">
        <x:v>2500</x:v>
      </x:c>
      <x:c r="O7" s="16" t="n">
        <x:v>2500</x:v>
      </x:c>
      <x:c r="P7" s="16" t="n">
        <x:f>N7-O7</x:f>
        <x:v>0</x:v>
      </x:c>
      <x:c r="Q7" s="11" t="str">
        <x:f>IF(P7&lt;=0,"PAID",IF(O7=0,"UNPAID","PARTIAL"))</x:f>
        <x:v>PAID</x:v>
      </x:c>
      <x:c r="R7" s="18" t="n">
        <x:v>46032</x:v>
      </x:c>
    </x:row>
    <x:row r="8">
      <x:c r="A8" s="11" t="n">
        <x:v>7</x:v>
      </x:c>
      <x:c r="B8" s="11" t="str">
        <x:v>ST007</x:v>
      </x:c>
      <x:c r="C8" s="11" t="str">
        <x:v>Amna</x:v>
      </x:c>
      <x:c r="D8" s="11" t="str">
        <x:v>Rashid Ahmed</x:v>
      </x:c>
      <x:c r="E8" s="11" t="str">
        <x:v>Class 7</x:v>
      </x:c>
      <x:c r="F8" s="11" t="str">
        <x:v>C</x:v>
      </x:c>
      <x:c r="G8" s="11" t="n">
        <x:v>1043</x:v>
      </x:c>
      <x:c r="H8" s="11" t="n">
        <x:v>100</x:v>
      </x:c>
      <x:c r="I8" s="11" t="n">
        <x:v>68</x:v>
      </x:c>
      <x:c r="J8" s="14" t="n">
        <x:f>IF(H8=0,0,I8/H8)</x:f>
        <x:v>0.68</x:v>
      </x:c>
      <x:c r="K8" s="11" t="str">
        <x:f>IF(J8&gt;=0.7,"ELIGIBLE","NOT ELIGIBLE")</x:f>
        <x:v>NOT ELIGIBLE</x:v>
      </x:c>
      <x:c r="L8" s="11" t="str">
        <x:v>0300-1000007</x:v>
      </x:c>
      <x:c r="M8" s="11" t="str">
        <x:v>Saddar, Karachi</x:v>
      </x:c>
      <x:c r="N8" s="16" t="n">
        <x:v>3000</x:v>
      </x:c>
      <x:c r="O8" s="16" t="n">
        <x:v>1800</x:v>
      </x:c>
      <x:c r="P8" s="16" t="n">
        <x:f>N8-O8</x:f>
        <x:v>1200</x:v>
      </x:c>
      <x:c r="Q8" s="11" t="str">
        <x:f>IF(P8&lt;=0,"PAID",IF(O8=0,"UNPAID","PARTIAL"))</x:f>
        <x:v>PARTIAL</x:v>
      </x:c>
      <x:c r="R8" s="18" t="n">
        <x:v>46034</x:v>
      </x:c>
    </x:row>
    <x:row r="9">
      <x:c r="A9" s="11" t="n">
        <x:v>8</x:v>
      </x:c>
      <x:c r="B9" s="11" t="str">
        <x:v>ST008</x:v>
      </x:c>
      <x:c r="C9" s="11" t="str">
        <x:v>Anaya</x:v>
      </x:c>
      <x:c r="D9" s="11" t="str">
        <x:v>Muhammad Akram</x:v>
      </x:c>
      <x:c r="E9" s="11" t="str">
        <x:v>Class 9</x:v>
      </x:c>
      <x:c r="F9" s="11" t="str">
        <x:v>D</x:v>
      </x:c>
      <x:c r="G9" s="11" t="n">
        <x:v>1090</x:v>
      </x:c>
      <x:c r="H9" s="11" t="n">
        <x:v>100</x:v>
      </x:c>
      <x:c r="I9" s="11" t="n">
        <x:v>90</x:v>
      </x:c>
      <x:c r="J9" s="14" t="n">
        <x:f>IF(H9=0,0,I9/H9)</x:f>
        <x:v>0.9</x:v>
      </x:c>
      <x:c r="K9" s="11" t="str">
        <x:f>IF(J9&gt;=0.7,"ELIGIBLE","NOT ELIGIBLE")</x:f>
        <x:v>ELIGIBLE</x:v>
      </x:c>
      <x:c r="L9" s="11" t="str">
        <x:v>0300-1000008</x:v>
      </x:c>
      <x:c r="M9" s="11" t="str">
        <x:v>North Karachi, Karachi</x:v>
      </x:c>
      <x:c r="N9" s="16" t="n">
        <x:v>1100</x:v>
      </x:c>
      <x:c r="O9" s="16" t="n">
        <x:v>1100</x:v>
      </x:c>
      <x:c r="P9" s="16" t="n">
        <x:f>N9-O9</x:f>
        <x:v>0</x:v>
      </x:c>
      <x:c r="Q9" s="11" t="str">
        <x:f>IF(P9&lt;=0,"PAID",IF(O9=0,"UNPAID","PARTIAL"))</x:f>
        <x:v>PAID</x:v>
      </x:c>
      <x:c r="R9" s="18" t="n">
        <x:v>46036</x:v>
      </x:c>
    </x:row>
    <x:row r="10">
      <x:c r="A10" s="11" t="n">
        <x:v>9</x:v>
      </x:c>
      <x:c r="B10" s="11" t="str">
        <x:v>ST009</x:v>
      </x:c>
      <x:c r="C10" s="11" t="str">
        <x:v>Areeba</x:v>
      </x:c>
      <x:c r="D10" s="11" t="str">
        <x:v>Javed Iqbal</x:v>
      </x:c>
      <x:c r="E10" s="11" t="str">
        <x:v>Class 4</x:v>
      </x:c>
      <x:c r="F10" s="11" t="str">
        <x:v>A</x:v>
      </x:c>
      <x:c r="G10" s="11" t="n">
        <x:v>1029</x:v>
      </x:c>
      <x:c r="H10" s="11" t="n">
        <x:v>100</x:v>
      </x:c>
      <x:c r="I10" s="11" t="n">
        <x:v>75</x:v>
      </x:c>
      <x:c r="J10" s="14" t="n">
        <x:f>IF(H10=0,0,I10/H10)</x:f>
        <x:v>0.75</x:v>
      </x:c>
      <x:c r="K10" s="11" t="str">
        <x:f>IF(J10&gt;=0.7,"ELIGIBLE","NOT ELIGIBLE")</x:f>
        <x:v>ELIGIBLE</x:v>
      </x:c>
      <x:c r="L10" s="11" t="str">
        <x:v>0300-1000009</x:v>
      </x:c>
      <x:c r="M10" s="11" t="str">
        <x:v>Orangi Town, Karachi</x:v>
      </x:c>
      <x:c r="N10" s="16" t="n">
        <x:v>1400</x:v>
      </x:c>
      <x:c r="O10" s="16" t="n">
        <x:v>1400</x:v>
      </x:c>
      <x:c r="P10" s="16" t="n">
        <x:f>N10-O10</x:f>
        <x:v>0</x:v>
      </x:c>
      <x:c r="Q10" s="11" t="str">
        <x:f>IF(P10&lt;=0,"PAID",IF(O10=0,"UNPAID","PARTIAL"))</x:f>
        <x:v>PAID</x:v>
      </x:c>
      <x:c r="R10" s="18" t="n">
        <x:v>46038</x:v>
      </x:c>
    </x:row>
    <x:row r="11">
      <x:c r="A11" s="11" t="n">
        <x:v>10</x:v>
      </x:c>
      <x:c r="B11" s="11" t="str">
        <x:v>ST010</x:v>
      </x:c>
      <x:c r="C11" s="11" t="str">
        <x:v>Arslan</x:v>
      </x:c>
      <x:c r="D11" s="11" t="str">
        <x:v>Muhammad Naveed</x:v>
      </x:c>
      <x:c r="E11" s="11" t="str">
        <x:v>Class 6</x:v>
      </x:c>
      <x:c r="F11" s="11" t="str">
        <x:v>C</x:v>
      </x:c>
      <x:c r="G11" s="11" t="n">
        <x:v>1064</x:v>
      </x:c>
      <x:c r="H11" s="11" t="n">
        <x:v>100</x:v>
      </x:c>
      <x:c r="I11" s="11" t="n">
        <x:v>80</x:v>
      </x:c>
      <x:c r="J11" s="14" t="n">
        <x:f>IF(H11=0,0,I11/H11)</x:f>
        <x:v>0.8</x:v>
      </x:c>
      <x:c r="K11" s="11" t="str">
        <x:f>IF(J11&gt;=0.7,"ELIGIBLE","NOT ELIGIBLE")</x:f>
        <x:v>ELIGIBLE</x:v>
      </x:c>
      <x:c r="L11" s="11" t="str">
        <x:v>0300-1000010</x:v>
      </x:c>
      <x:c r="M11" s="11" t="str">
        <x:v>Federal B Area, Karachi</x:v>
      </x:c>
      <x:c r="N11" s="16" t="n">
        <x:v>1600</x:v>
      </x:c>
      <x:c r="O11" s="16" t="n">
        <x:v>1600</x:v>
      </x:c>
      <x:c r="P11" s="16" t="n">
        <x:f>N11-O11</x:f>
        <x:v>0</x:v>
      </x:c>
      <x:c r="Q11" s="11" t="str">
        <x:f>IF(P11&lt;=0,"PAID",IF(O11=0,"UNPAID","PARTIAL"))</x:f>
        <x:v>PAID</x:v>
      </x:c>
      <x:c r="R11" s="18" t="n">
        <x:v>46040</x:v>
      </x:c>
    </x:row>
    <x:row r="12">
      <x:c r="A12" s="11" t="n">
        <x:v>11</x:v>
      </x:c>
      <x:c r="B12" s="11" t="str">
        <x:v>ST011</x:v>
      </x:c>
      <x:c r="C12" s="11" t="str">
        <x:v>Asad</x:v>
      </x:c>
      <x:c r="D12" s="11" t="str">
        <x:v>Tariq Mehmood</x:v>
      </x:c>
      <x:c r="E12" s="11" t="str">
        <x:v>Class 1</x:v>
      </x:c>
      <x:c r="F12" s="11" t="str">
        <x:v>D</x:v>
      </x:c>
      <x:c r="G12" s="11" t="n">
        <x:v>1007</x:v>
      </x:c>
      <x:c r="H12" s="11" t="n">
        <x:v>100</x:v>
      </x:c>
      <x:c r="I12" s="11" t="n">
        <x:v>66</x:v>
      </x:c>
      <x:c r="J12" s="14" t="n">
        <x:f>IF(H12=0,0,I12/H12)</x:f>
        <x:v>0.66</x:v>
      </x:c>
      <x:c r="K12" s="11" t="str">
        <x:f>IF(J12&gt;=0.7,"ELIGIBLE","NOT ELIGIBLE")</x:f>
        <x:v>NOT ELIGIBLE</x:v>
      </x:c>
      <x:c r="L12" s="11" t="str">
        <x:v>0300-1000011</x:v>
      </x:c>
      <x:c r="M12" s="11" t="str">
        <x:v>Gulistan-e-Johar, Karachi</x:v>
      </x:c>
      <x:c r="N12" s="16" t="n">
        <x:v>1700</x:v>
      </x:c>
      <x:c r="O12" s="16" t="n">
        <x:v>900</x:v>
      </x:c>
      <x:c r="P12" s="16" t="n">
        <x:f>N12-O12</x:f>
        <x:v>800</x:v>
      </x:c>
      <x:c r="Q12" s="11" t="str">
        <x:f>IF(P12&lt;=0,"PAID",IF(O12=0,"UNPAID","PARTIAL"))</x:f>
        <x:v>PARTIAL</x:v>
      </x:c>
      <x:c r="R12" s="18" t="n">
        <x:v>46045</x:v>
      </x:c>
    </x:row>
    <x:row r="13">
      <x:c r="A13" s="11" t="n">
        <x:v>12</x:v>
      </x:c>
      <x:c r="B13" s="11" t="str">
        <x:v>ST012</x:v>
      </x:c>
      <x:c r="C13" s="11" t="str">
        <x:v>Ayaan</x:v>
      </x:c>
      <x:c r="D13" s="11" t="str">
        <x:v>Muhammad Saleem</x:v>
      </x:c>
      <x:c r="E13" s="11" t="str">
        <x:v>Class 2</x:v>
      </x:c>
      <x:c r="F13" s="11" t="str">
        <x:v>A</x:v>
      </x:c>
      <x:c r="G13" s="11" t="n">
        <x:v>1044</x:v>
      </x:c>
      <x:c r="H13" s="11" t="n">
        <x:v>100</x:v>
      </x:c>
      <x:c r="I13" s="11" t="n">
        <x:v>58</x:v>
      </x:c>
      <x:c r="J13" s="14" t="n">
        <x:f>IF(H13=0,0,I13/H13)</x:f>
        <x:v>0.58</x:v>
      </x:c>
      <x:c r="K13" s="11" t="str">
        <x:f>IF(J13&gt;=0.7,"ELIGIBLE","NOT ELIGIBLE")</x:f>
        <x:v>NOT ELIGIBLE</x:v>
      </x:c>
      <x:c r="L13" s="11" t="str">
        <x:v>0300-1000012</x:v>
      </x:c>
      <x:c r="M13" s="11" t="str">
        <x:v>Defence, Karachi</x:v>
      </x:c>
      <x:c r="N13" s="16" t="n">
        <x:v>1900</x:v>
      </x:c>
      <x:c r="O13" s="16" t="n">
        <x:v>1600</x:v>
      </x:c>
      <x:c r="P13" s="16" t="n">
        <x:f>N13-O13</x:f>
        <x:v>300</x:v>
      </x:c>
      <x:c r="Q13" s="11" t="str">
        <x:f>IF(P13&lt;=0,"PAID",IF(O13=0,"UNPAID","PARTIAL"))</x:f>
        <x:v>PARTIAL</x:v>
      </x:c>
      <x:c r="R13" s="18" t="n">
        <x:v>46047</x:v>
      </x:c>
    </x:row>
    <x:row r="14">
      <x:c r="A14" s="11" t="n">
        <x:v>13</x:v>
      </x:c>
      <x:c r="B14" s="11" t="str">
        <x:v>ST013</x:v>
      </x:c>
      <x:c r="C14" s="11" t="str">
        <x:v>Ayesha</x:v>
      </x:c>
      <x:c r="D14" s="11" t="str">
        <x:v>Abdul Qadir</x:v>
      </x:c>
      <x:c r="E14" s="11" t="str">
        <x:v>Class 3</x:v>
      </x:c>
      <x:c r="F14" s="11" t="str">
        <x:v>B</x:v>
      </x:c>
      <x:c r="G14" s="11" t="n">
        <x:v>1081</x:v>
      </x:c>
      <x:c r="H14" s="11" t="n">
        <x:v>100</x:v>
      </x:c>
      <x:c r="I14" s="11" t="n">
        <x:v>73</x:v>
      </x:c>
      <x:c r="J14" s="14" t="n">
        <x:f>IF(H14=0,0,I14/H14)</x:f>
        <x:v>0.73</x:v>
      </x:c>
      <x:c r="K14" s="11" t="str">
        <x:f>IF(J14&gt;=0.7,"ELIGIBLE","NOT ELIGIBLE")</x:f>
        <x:v>ELIGIBLE</x:v>
      </x:c>
      <x:c r="L14" s="11" t="str">
        <x:v>0300-1000013</x:v>
      </x:c>
      <x:c r="M14" s="11" t="str">
        <x:v>Shah Faisal Colony, Karachi</x:v>
      </x:c>
      <x:c r="N14" s="16" t="n">
        <x:v>2200</x:v>
      </x:c>
      <x:c r="O14" s="16" t="n">
        <x:v>2200</x:v>
      </x:c>
      <x:c r="P14" s="16" t="n">
        <x:f>N14-O14</x:f>
        <x:v>0</x:v>
      </x:c>
      <x:c r="Q14" s="11" t="str">
        <x:f>IF(P14&lt;=0,"PAID",IF(O14=0,"UNPAID","PARTIAL"))</x:f>
        <x:v>PAID</x:v>
      </x:c>
      <x:c r="R14" s="18" t="n">
        <x:v>46049</x:v>
      </x:c>
    </x:row>
    <x:row r="15">
      <x:c r="A15" s="11" t="n">
        <x:v>14</x:v>
      </x:c>
      <x:c r="B15" s="11" t="str">
        <x:v>ST014</x:v>
      </x:c>
      <x:c r="C15" s="11" t="str">
        <x:v>Bilal</x:v>
      </x:c>
      <x:c r="D15" s="11" t="str">
        <x:v>Muhammad Hanif</x:v>
      </x:c>
      <x:c r="E15" s="11" t="str">
        <x:v>Class 4</x:v>
      </x:c>
      <x:c r="F15" s="11" t="str">
        <x:v>C</x:v>
      </x:c>
      <x:c r="G15" s="11" t="n">
        <x:v>1018</x:v>
      </x:c>
      <x:c r="H15" s="11" t="n">
        <x:v>100</x:v>
      </x:c>
      <x:c r="I15" s="11" t="n">
        <x:v>77</x:v>
      </x:c>
      <x:c r="J15" s="14" t="n">
        <x:f>IF(H15=0,0,I15/H15)</x:f>
        <x:v>0.77</x:v>
      </x:c>
      <x:c r="K15" s="11" t="str">
        <x:f>IF(J15&gt;=0.7,"ELIGIBLE","NOT ELIGIBLE")</x:f>
        <x:v>ELIGIBLE</x:v>
      </x:c>
      <x:c r="L15" s="11" t="str">
        <x:v>0300-1000014</x:v>
      </x:c>
      <x:c r="M15" s="11" t="str">
        <x:v>Landhi, Karachi</x:v>
      </x:c>
      <x:c r="N15" s="16" t="n">
        <x:v>2300</x:v>
      </x:c>
      <x:c r="O15" s="16" t="n">
        <x:v>2300</x:v>
      </x:c>
      <x:c r="P15" s="16" t="n">
        <x:f>N15-O15</x:f>
        <x:v>0</x:v>
      </x:c>
      <x:c r="Q15" s="11" t="str">
        <x:f>IF(P15&lt;=0,"PAID",IF(O15=0,"UNPAID","PARTIAL"))</x:f>
        <x:v>PAID</x:v>
      </x:c>
      <x:c r="R15" s="18" t="n">
        <x:v>46051</x:v>
      </x:c>
    </x:row>
    <x:row r="16">
      <x:c r="A16" s="11" t="n">
        <x:v>15</x:v>
      </x:c>
      <x:c r="B16" s="11" t="str">
        <x:v>ST015</x:v>
      </x:c>
      <x:c r="C16" s="11" t="str">
        <x:v>Daniyal</x:v>
      </x:c>
      <x:c r="D16" s="11" t="str">
        <x:v>Ghulam Mustafa</x:v>
      </x:c>
      <x:c r="E16" s="11" t="str">
        <x:v>Class 5</x:v>
      </x:c>
      <x:c r="F16" s="11" t="str">
        <x:v>D</x:v>
      </x:c>
      <x:c r="G16" s="11" t="n">
        <x:v>1055</x:v>
      </x:c>
      <x:c r="H16" s="11" t="n">
        <x:v>100</x:v>
      </x:c>
      <x:c r="I16" s="11" t="n">
        <x:v>84</x:v>
      </x:c>
      <x:c r="J16" s="14" t="n">
        <x:f>IF(H16=0,0,I16/H16)</x:f>
        <x:v>0.84</x:v>
      </x:c>
      <x:c r="K16" s="11" t="str">
        <x:f>IF(J16&gt;=0.7,"ELIGIBLE","NOT ELIGIBLE")</x:f>
        <x:v>ELIGIBLE</x:v>
      </x:c>
      <x:c r="L16" s="11" t="str">
        <x:v>0300-1000015</x:v>
      </x:c>
      <x:c r="M16" s="11" t="str">
        <x:v>Baldia Town, Karachi</x:v>
      </x:c>
      <x:c r="N16" s="16" t="n">
        <x:v>2400</x:v>
      </x:c>
      <x:c r="O16" s="16" t="n">
        <x:v>2400</x:v>
      </x:c>
      <x:c r="P16" s="16" t="n">
        <x:f>N16-O16</x:f>
        <x:v>0</x:v>
      </x:c>
      <x:c r="Q16" s="11" t="str">
        <x:f>IF(P16&lt;=0,"PAID",IF(O16=0,"UNPAID","PARTIAL"))</x:f>
        <x:v>PAID</x:v>
      </x:c>
      <x:c r="R16" s="18" t="n">
        <x:v>46053</x:v>
      </x:c>
    </x:row>
    <x:row r="17">
      <x:c r="A17" s="11" t="n">
        <x:v>16</x:v>
      </x:c>
      <x:c r="B17" s="11" t="str">
        <x:v>ST016</x:v>
      </x:c>
      <x:c r="C17" s="11" t="str">
        <x:v>Dua</x:v>
      </x:c>
      <x:c r="D17" s="11" t="str">
        <x:v>Muhammad Ashraf</x:v>
      </x:c>
      <x:c r="E17" s="11" t="str">
        <x:v>Class 6</x:v>
      </x:c>
      <x:c r="F17" s="11" t="str">
        <x:v>A</x:v>
      </x:c>
      <x:c r="G17" s="11" t="n">
        <x:v>1092</x:v>
      </x:c>
      <x:c r="H17" s="11" t="n">
        <x:v>100</x:v>
      </x:c>
      <x:c r="I17" s="11" t="n">
        <x:v>69</x:v>
      </x:c>
      <x:c r="J17" s="14" t="n">
        <x:f>IF(H17=0,0,I17/H17)</x:f>
        <x:v>0.69</x:v>
      </x:c>
      <x:c r="K17" s="11" t="str">
        <x:f>IF(J17&gt;=0.7,"ELIGIBLE","NOT ELIGIBLE")</x:f>
        <x:v>NOT ELIGIBLE</x:v>
      </x:c>
      <x:c r="L17" s="11" t="str">
        <x:v>0300-1000016</x:v>
      </x:c>
      <x:c r="M17" s="11" t="str">
        <x:v>Scheme 33, Karachi</x:v>
      </x:c>
      <x:c r="N17" s="16" t="n">
        <x:v>2600</x:v>
      </x:c>
      <x:c r="O17" s="16" t="n">
        <x:v>2100</x:v>
      </x:c>
      <x:c r="P17" s="16" t="n">
        <x:f>N17-O17</x:f>
        <x:v>500</x:v>
      </x:c>
      <x:c r="Q17" s="11" t="str">
        <x:f>IF(P17&lt;=0,"PAID",IF(O17=0,"UNPAID","PARTIAL"))</x:f>
        <x:v>PARTIAL</x:v>
      </x:c>
      <x:c r="R17" s="18" t="n">
        <x:v>46055</x:v>
      </x:c>
    </x:row>
    <x:row r="18">
      <x:c r="A18" s="11" t="n">
        <x:v>17</x:v>
      </x:c>
      <x:c r="B18" s="11" t="str">
        <x:v>ST017</x:v>
      </x:c>
      <x:c r="C18" s="11" t="str">
        <x:v>Eman</x:v>
      </x:c>
      <x:c r="D18" s="11" t="str">
        <x:v>Muhammad Shafiq</x:v>
      </x:c>
      <x:c r="E18" s="11" t="str">
        <x:v>Class 7</x:v>
      </x:c>
      <x:c r="F18" s="11" t="str">
        <x:v>B</x:v>
      </x:c>
      <x:c r="G18" s="11" t="n">
        <x:v>1029</x:v>
      </x:c>
      <x:c r="H18" s="11" t="n">
        <x:v>100</x:v>
      </x:c>
      <x:c r="I18" s="11" t="n">
        <x:v>71</x:v>
      </x:c>
      <x:c r="J18" s="14" t="n">
        <x:f>IF(H18=0,0,I18/H18)</x:f>
        <x:v>0.71</x:v>
      </x:c>
      <x:c r="K18" s="11" t="str">
        <x:f>IF(J18&gt;=0.7,"ELIGIBLE","NOT ELIGIBLE")</x:f>
        <x:v>ELIGIBLE</x:v>
      </x:c>
      <x:c r="L18" s="11" t="str">
        <x:v>0300-1000017</x:v>
      </x:c>
      <x:c r="M18" s="11" t="str">
        <x:v>Buffer Zone, Karachi</x:v>
      </x:c>
      <x:c r="N18" s="16" t="n">
        <x:v>2800</x:v>
      </x:c>
      <x:c r="O18" s="16" t="n">
        <x:v>2800</x:v>
      </x:c>
      <x:c r="P18" s="16" t="n">
        <x:f>N18-O18</x:f>
        <x:v>0</x:v>
      </x:c>
      <x:c r="Q18" s="11" t="str">
        <x:f>IF(P18&lt;=0,"PAID",IF(O18=0,"UNPAID","PARTIAL"))</x:f>
        <x:v>PAID</x:v>
      </x:c>
      <x:c r="R18" s="18" t="n">
        <x:v>46057</x:v>
      </x:c>
    </x:row>
    <x:row r="19">
      <x:c r="A19" s="11" t="n">
        <x:v>18</x:v>
      </x:c>
      <x:c r="B19" s="11" t="str">
        <x:v>ST018</x:v>
      </x:c>
      <x:c r="C19" s="11" t="str">
        <x:v>Fahad</x:v>
      </x:c>
      <x:c r="D19" s="11" t="str">
        <x:v>Bashir Ahmed</x:v>
      </x:c>
      <x:c r="E19" s="11" t="str">
        <x:v>Class 8</x:v>
      </x:c>
      <x:c r="F19" s="11" t="str">
        <x:v>C</x:v>
      </x:c>
      <x:c r="G19" s="11" t="n">
        <x:v>1066</x:v>
      </x:c>
      <x:c r="H19" s="11" t="n">
        <x:v>100</x:v>
      </x:c>
      <x:c r="I19" s="11" t="n">
        <x:v>88</x:v>
      </x:c>
      <x:c r="J19" s="14" t="n">
        <x:f>IF(H19=0,0,I19/H19)</x:f>
        <x:v>0.88</x:v>
      </x:c>
      <x:c r="K19" s="11" t="str">
        <x:f>IF(J19&gt;=0.7,"ELIGIBLE","NOT ELIGIBLE")</x:f>
        <x:v>ELIGIBLE</x:v>
      </x:c>
      <x:c r="L19" s="11" t="str">
        <x:v>0300-1000018</x:v>
      </x:c>
      <x:c r="M19" s="11" t="str">
        <x:v>SITE Area, Karachi</x:v>
      </x:c>
      <x:c r="N19" s="16" t="n">
        <x:v>1500</x:v>
      </x:c>
      <x:c r="O19" s="16" t="n">
        <x:v>1500</x:v>
      </x:c>
      <x:c r="P19" s="16" t="n">
        <x:f>N19-O19</x:f>
        <x:v>0</x:v>
      </x:c>
      <x:c r="Q19" s="11" t="str">
        <x:f>IF(P19&lt;=0,"PAID",IF(O19=0,"UNPAID","PARTIAL"))</x:f>
        <x:v>PAID</x:v>
      </x:c>
      <x:c r="R19" s="18" t="n">
        <x:v>46059</x:v>
      </x:c>
    </x:row>
    <x:row r="20">
      <x:c r="A20" s="11" t="n">
        <x:v>19</x:v>
      </x:c>
      <x:c r="B20" s="11" t="str">
        <x:v>ST019</x:v>
      </x:c>
      <x:c r="C20" s="11" t="str">
        <x:v>Faizan</x:v>
      </x:c>
      <x:c r="D20" s="11" t="str">
        <x:v>Muhammad Riaz</x:v>
      </x:c>
      <x:c r="E20" s="11" t="str">
        <x:v>Class 9</x:v>
      </x:c>
      <x:c r="F20" s="11" t="str">
        <x:v>D</x:v>
      </x:c>
      <x:c r="G20" s="11" t="n">
        <x:v>1003</x:v>
      </x:c>
      <x:c r="H20" s="11" t="n">
        <x:v>100</x:v>
      </x:c>
      <x:c r="I20" s="11" t="n">
        <x:v>62</x:v>
      </x:c>
      <x:c r="J20" s="14" t="n">
        <x:f>IF(H20=0,0,I20/H20)</x:f>
        <x:v>0.62</x:v>
      </x:c>
      <x:c r="K20" s="11" t="str">
        <x:f>IF(J20&gt;=0.7,"ELIGIBLE","NOT ELIGIBLE")</x:f>
        <x:v>NOT ELIGIBLE</x:v>
      </x:c>
      <x:c r="L20" s="11" t="str">
        <x:v>0300-1000019</x:v>
      </x:c>
      <x:c r="M20" s="11" t="str">
        <x:v>PECHS, Karachi</x:v>
      </x:c>
      <x:c r="N20" s="16" t="n">
        <x:v>1800</x:v>
      </x:c>
      <x:c r="O20" s="16" t="n">
        <x:v>1300</x:v>
      </x:c>
      <x:c r="P20" s="16" t="n">
        <x:f>N20-O20</x:f>
        <x:v>500</x:v>
      </x:c>
      <x:c r="Q20" s="11" t="str">
        <x:f>IF(P20&lt;=0,"PAID",IF(O20=0,"UNPAID","PARTIAL"))</x:f>
        <x:v>PARTIAL</x:v>
      </x:c>
      <x:c r="R20" s="18" t="n">
        <x:v>46061</x:v>
      </x:c>
    </x:row>
    <x:row r="21">
      <x:c r="A21" s="11" t="n">
        <x:v>20</x:v>
      </x:c>
      <x:c r="B21" s="11" t="str">
        <x:v>ST020</x:v>
      </x:c>
      <x:c r="C21" s="11" t="str">
        <x:v>Fatima</x:v>
      </x:c>
      <x:c r="D21" s="11" t="str">
        <x:v>Abdul Hameed</x:v>
      </x:c>
      <x:c r="E21" s="11" t="str">
        <x:v>Class 10</x:v>
      </x:c>
      <x:c r="F21" s="11" t="str">
        <x:v>A</x:v>
      </x:c>
      <x:c r="G21" s="11" t="n">
        <x:v>1040</x:v>
      </x:c>
      <x:c r="H21" s="11" t="n">
        <x:v>100</x:v>
      </x:c>
      <x:c r="I21" s="11" t="n">
        <x:v>79</x:v>
      </x:c>
      <x:c r="J21" s="14" t="n">
        <x:f>IF(H21=0,0,I21/H21)</x:f>
        <x:v>0.79</x:v>
      </x:c>
      <x:c r="K21" s="11" t="str">
        <x:f>IF(J21&gt;=0.7,"ELIGIBLE","NOT ELIGIBLE")</x:f>
        <x:v>ELIGIBLE</x:v>
      </x:c>
      <x:c r="L21" s="11" t="str">
        <x:v>0300-1000020</x:v>
      </x:c>
      <x:c r="M21" s="11" t="str">
        <x:v>DHA Phase 2, Karachi</x:v>
      </x:c>
      <x:c r="N21" s="16" t="n">
        <x:v>2000</x:v>
      </x:c>
      <x:c r="O21" s="16" t="n">
        <x:v>2000</x:v>
      </x:c>
      <x:c r="P21" s="16" t="n">
        <x:f>N21-O21</x:f>
        <x:v>0</x:v>
      </x:c>
      <x:c r="Q21" s="11" t="str">
        <x:f>IF(P21&lt;=0,"PAID",IF(O21=0,"UNPAID","PARTIAL"))</x:f>
        <x:v>PAID</x:v>
      </x:c>
      <x:c r="R21" s="18" t="n">
        <x:v>46063</x:v>
      </x:c>
    </x:row>
    <x:row r="22">
      <x:c r="A22" s="11" t="n">
        <x:v>21</x:v>
      </x:c>
      <x:c r="B22" s="11" t="str">
        <x:v>ST021</x:v>
      </x:c>
      <x:c r="C22" s="11" t="str">
        <x:v>Hafsa</x:v>
      </x:c>
      <x:c r="D22" s="11" t="str">
        <x:v>Muhammad Farooq</x:v>
      </x:c>
      <x:c r="E22" s="11" t="str">
        <x:v>Class 1</x:v>
      </x:c>
      <x:c r="F22" s="11" t="str">
        <x:v>B</x:v>
      </x:c>
      <x:c r="G22" s="11" t="n">
        <x:v>1077</x:v>
      </x:c>
      <x:c r="H22" s="11" t="n">
        <x:v>100</x:v>
      </x:c>
      <x:c r="I22" s="11" t="n">
        <x:v>65</x:v>
      </x:c>
      <x:c r="J22" s="14" t="n">
        <x:f>IF(H22=0,0,I22/H22)</x:f>
        <x:v>0.65</x:v>
      </x:c>
      <x:c r="K22" s="11" t="str">
        <x:f>IF(J22&gt;=0.7,"ELIGIBLE","NOT ELIGIBLE")</x:f>
        <x:v>NOT ELIGIBLE</x:v>
      </x:c>
      <x:c r="L22" s="11" t="str">
        <x:v>0300-1000021</x:v>
      </x:c>
      <x:c r="M22" s="11" t="str">
        <x:v>DHA Phase 4, Karachi</x:v>
      </x:c>
      <x:c r="N22" s="16" t="n">
        <x:v>2100</x:v>
      </x:c>
      <x:c r="O22" s="16" t="n">
        <x:v>1600</x:v>
      </x:c>
      <x:c r="P22" s="16" t="n">
        <x:f>N22-O22</x:f>
        <x:v>500</x:v>
      </x:c>
      <x:c r="Q22" s="11" t="str">
        <x:f>IF(P22&lt;=0,"PAID",IF(O22=0,"UNPAID","PARTIAL"))</x:f>
        <x:v>PARTIAL</x:v>
      </x:c>
      <x:c r="R22" s="18" t="n">
        <x:v>46065</x:v>
      </x:c>
    </x:row>
    <x:row r="23">
      <x:c r="A23" s="11" t="n">
        <x:v>22</x:v>
      </x:c>
      <x:c r="B23" s="11" t="str">
        <x:v>ST022</x:v>
      </x:c>
      <x:c r="C23" s="11" t="str">
        <x:v>Hamza</x:v>
      </x:c>
      <x:c r="D23" s="11" t="str">
        <x:v>Muhammad Jamil</x:v>
      </x:c>
      <x:c r="E23" s="11" t="str">
        <x:v>Class 2</x:v>
      </x:c>
      <x:c r="F23" s="11" t="str">
        <x:v>C</x:v>
      </x:c>
      <x:c r="G23" s="11" t="n">
        <x:v>1014</x:v>
      </x:c>
      <x:c r="H23" s="11" t="n">
        <x:v>100</x:v>
      </x:c>
      <x:c r="I23" s="11" t="n">
        <x:v>74</x:v>
      </x:c>
      <x:c r="J23" s="14" t="n">
        <x:f>IF(H23=0,0,I23/H23)</x:f>
        <x:v>0.74</x:v>
      </x:c>
      <x:c r="K23" s="11" t="str">
        <x:f>IF(J23&gt;=0.7,"ELIGIBLE","NOT ELIGIBLE")</x:f>
        <x:v>ELIGIBLE</x:v>
      </x:c>
      <x:c r="L23" s="11" t="str">
        <x:v>0300-1000022</x:v>
      </x:c>
      <x:c r="M23" s="11" t="str">
        <x:v>Clifton Block 5, Karachi</x:v>
      </x:c>
      <x:c r="N23" s="16" t="n">
        <x:v>1700</x:v>
      </x:c>
      <x:c r="O23" s="16" t="n">
        <x:v>1700</x:v>
      </x:c>
      <x:c r="P23" s="16" t="n">
        <x:f>N23-O23</x:f>
        <x:v>0</x:v>
      </x:c>
      <x:c r="Q23" s="11" t="str">
        <x:f>IF(P23&lt;=0,"PAID",IF(O23=0,"UNPAID","PARTIAL"))</x:f>
        <x:v>PAID</x:v>
      </x:c>
      <x:c r="R23" s="18" t="n">
        <x:v>46067</x:v>
      </x:c>
    </x:row>
    <x:row r="24">
      <x:c r="A24" s="11" t="n">
        <x:v>23</x:v>
      </x:c>
      <x:c r="B24" s="11" t="str">
        <x:v>ST023</x:v>
      </x:c>
      <x:c r="C24" s="11" t="str">
        <x:v>Hania</x:v>
      </x:c>
      <x:c r="D24" s="11" t="str">
        <x:v>Shahid Iqbal</x:v>
      </x:c>
      <x:c r="E24" s="11" t="str">
        <x:v>Class 3</x:v>
      </x:c>
      <x:c r="F24" s="11" t="str">
        <x:v>D</x:v>
      </x:c>
      <x:c r="G24" s="11" t="n">
        <x:v>1051</x:v>
      </x:c>
      <x:c r="H24" s="11" t="n">
        <x:v>100</x:v>
      </x:c>
      <x:c r="I24" s="11" t="n">
        <x:v>83</x:v>
      </x:c>
      <x:c r="J24" s="14" t="n">
        <x:f>IF(H24=0,0,I24/H24)</x:f>
        <x:v>0.83</x:v>
      </x:c>
      <x:c r="K24" s="11" t="str">
        <x:f>IF(J24&gt;=0.7,"ELIGIBLE","NOT ELIGIBLE")</x:f>
        <x:v>ELIGIBLE</x:v>
      </x:c>
      <x:c r="L24" s="11" t="str">
        <x:v>0300-1000023</x:v>
      </x:c>
      <x:c r="M24" s="11" t="str">
        <x:v>Gulshan Block 13, Karachi</x:v>
      </x:c>
      <x:c r="N24" s="16" t="n">
        <x:v>1600</x:v>
      </x:c>
      <x:c r="O24" s="16" t="n">
        <x:v>1600</x:v>
      </x:c>
      <x:c r="P24" s="16" t="n">
        <x:f>N24-O24</x:f>
        <x:v>0</x:v>
      </x:c>
      <x:c r="Q24" s="11" t="str">
        <x:f>IF(P24&lt;=0,"PAID",IF(O24=0,"UNPAID","PARTIAL"))</x:f>
        <x:v>PAID</x:v>
      </x:c>
      <x:c r="R24" s="18" t="n">
        <x:v>46069</x:v>
      </x:c>
    </x:row>
    <x:row r="25">
      <x:c r="A25" s="11" t="n">
        <x:v>24</x:v>
      </x:c>
      <x:c r="B25" s="11" t="str">
        <x:v>ST024</x:v>
      </x:c>
      <x:c r="C25" s="11" t="str">
        <x:v>Haris</x:v>
      </x:c>
      <x:c r="D25" s="11" t="str">
        <x:v>Muhammad Nadeem</x:v>
      </x:c>
      <x:c r="E25" s="11" t="str">
        <x:v>Class 4</x:v>
      </x:c>
      <x:c r="F25" s="11" t="str">
        <x:v>A</x:v>
      </x:c>
      <x:c r="G25" s="11" t="n">
        <x:v>1088</x:v>
      </x:c>
      <x:c r="H25" s="11" t="n">
        <x:v>100</x:v>
      </x:c>
      <x:c r="I25" s="11" t="n">
        <x:v>57</x:v>
      </x:c>
      <x:c r="J25" s="14" t="n">
        <x:f>IF(H25=0,0,I25/H25)</x:f>
        <x:v>0.57</x:v>
      </x:c>
      <x:c r="K25" s="11" t="str">
        <x:f>IF(J25&gt;=0.7,"ELIGIBLE","NOT ELIGIBLE")</x:f>
        <x:v>NOT ELIGIBLE</x:v>
      </x:c>
      <x:c r="L25" s="11" t="str">
        <x:v>0300-1000024</x:v>
      </x:c>
      <x:c r="M25" s="11" t="str">
        <x:v>Malir Cantt, Karachi</x:v>
      </x:c>
      <x:c r="N25" s="16" t="n">
        <x:v>1900</x:v>
      </x:c>
      <x:c r="O25" s="16" t="n">
        <x:v>1600</x:v>
      </x:c>
      <x:c r="P25" s="16" t="n">
        <x:f>N25-O25</x:f>
        <x:v>300</x:v>
      </x:c>
      <x:c r="Q25" s="11" t="str">
        <x:f>IF(P25&lt;=0,"PAID",IF(O25=0,"UNPAID","PARTIAL"))</x:f>
        <x:v>PARTIAL</x:v>
      </x:c>
      <x:c r="R25" s="18" t="n">
        <x:v>46071</x:v>
      </x:c>
    </x:row>
    <x:row r="26">
      <x:c r="A26" s="11" t="n">
        <x:v>25</x:v>
      </x:c>
      <x:c r="B26" s="11" t="str">
        <x:v>ST025</x:v>
      </x:c>
      <x:c r="C26" s="11" t="str">
        <x:v>Hassan</x:v>
      </x:c>
      <x:c r="D26" s="11" t="str">
        <x:v>Muhammad Anwar</x:v>
      </x:c>
      <x:c r="E26" s="11" t="str">
        <x:v>Class 5</x:v>
      </x:c>
      <x:c r="F26" s="11" t="str">
        <x:v>B</x:v>
      </x:c>
      <x:c r="G26" s="11" t="n">
        <x:v>1025</x:v>
      </x:c>
      <x:c r="H26" s="11" t="n">
        <x:v>100</x:v>
      </x:c>
      <x:c r="I26" s="11" t="n">
        <x:v>78</x:v>
      </x:c>
      <x:c r="J26" s="14" t="n">
        <x:f>IF(H26=0,0,I26/H26)</x:f>
        <x:v>0.78</x:v>
      </x:c>
      <x:c r="K26" s="11" t="str">
        <x:f>IF(J26&gt;=0.7,"ELIGIBLE","NOT ELIGIBLE")</x:f>
        <x:v>ELIGIBLE</x:v>
      </x:c>
      <x:c r="L26" s="11" t="str">
        <x:v>0300-1000025</x:v>
      </x:c>
      <x:c r="M26" s="11" t="str">
        <x:v>Korangi Industrial Area, Karachi</x:v>
      </x:c>
      <x:c r="N26" s="16" t="n">
        <x:v>2200</x:v>
      </x:c>
      <x:c r="O26" s="16" t="n">
        <x:v>2200</x:v>
      </x:c>
      <x:c r="P26" s="16" t="n">
        <x:f>N26-O26</x:f>
        <x:v>0</x:v>
      </x:c>
      <x:c r="Q26" s="11" t="str">
        <x:f>IF(P26&lt;=0,"PAID",IF(O26=0,"UNPAID","PARTIAL"))</x:f>
        <x:v>PAID</x:v>
      </x:c>
      <x:c r="R26" s="18" t="n">
        <x:v>46073</x:v>
      </x:c>
    </x:row>
    <x:row r="27">
      <x:c r="A27" s="11" t="n">
        <x:v>26</x:v>
      </x:c>
      <x:c r="B27" s="11" t="str">
        <x:v>ST026</x:v>
      </x:c>
      <x:c r="C27" s="11" t="str">
        <x:v>Hira</x:v>
      </x:c>
      <x:c r="D27" s="11" t="str">
        <x:v>Asif Mehmood</x:v>
      </x:c>
      <x:c r="E27" s="11" t="str">
        <x:v>Class 6</x:v>
      </x:c>
      <x:c r="F27" s="11" t="str">
        <x:v>C</x:v>
      </x:c>
      <x:c r="G27" s="11" t="n">
        <x:v>1062</x:v>
      </x:c>
      <x:c r="H27" s="11" t="n">
        <x:v>100</x:v>
      </x:c>
      <x:c r="I27" s="11" t="n">
        <x:v>81</x:v>
      </x:c>
      <x:c r="J27" s="14" t="n">
        <x:f>IF(H27=0,0,I27/H27)</x:f>
        <x:v>0.81</x:v>
      </x:c>
      <x:c r="K27" s="11" t="str">
        <x:f>IF(J27&gt;=0.7,"ELIGIBLE","NOT ELIGIBLE")</x:f>
        <x:v>ELIGIBLE</x:v>
      </x:c>
      <x:c r="L27" s="11" t="str">
        <x:v>0300-1000026</x:v>
      </x:c>
      <x:c r="M27" s="11" t="str">
        <x:v>Nazimabad Block 1, Karachi</x:v>
      </x:c>
      <x:c r="N27" s="16" t="n">
        <x:v>2500</x:v>
      </x:c>
      <x:c r="O27" s="16" t="n">
        <x:v>2500</x:v>
      </x:c>
      <x:c r="P27" s="16" t="n">
        <x:f>N27-O27</x:f>
        <x:v>0</x:v>
      </x:c>
      <x:c r="Q27" s="11" t="str">
        <x:f>IF(P27&lt;=0,"PAID",IF(O27=0,"UNPAID","PARTIAL"))</x:f>
        <x:v>PAID</x:v>
      </x:c>
      <x:c r="R27" s="18" t="n">
        <x:v>46075</x:v>
      </x:c>
    </x:row>
    <x:row r="28">
      <x:c r="A28" s="11" t="n">
        <x:v>27</x:v>
      </x:c>
      <x:c r="B28" s="11" t="str">
        <x:v>ST027</x:v>
      </x:c>
      <x:c r="C28" s="11" t="str">
        <x:v>Imran</x:v>
      </x:c>
      <x:c r="D28" s="11" t="str">
        <x:v>Muhammad Sarwar</x:v>
      </x:c>
      <x:c r="E28" s="11" t="str">
        <x:v>Class 7</x:v>
      </x:c>
      <x:c r="F28" s="11" t="str">
        <x:v>D</x:v>
      </x:c>
      <x:c r="G28" s="11" t="n">
        <x:v>1099</x:v>
      </x:c>
      <x:c r="H28" s="11" t="n">
        <x:v>100</x:v>
      </x:c>
      <x:c r="I28" s="11" t="n">
        <x:v>86</x:v>
      </x:c>
      <x:c r="J28" s="14" t="n">
        <x:f>IF(H28=0,0,I28/H28)</x:f>
        <x:v>0.86</x:v>
      </x:c>
      <x:c r="K28" s="11" t="str">
        <x:f>IF(J28&gt;=0.7,"ELIGIBLE","NOT ELIGIBLE")</x:f>
        <x:v>ELIGIBLE</x:v>
      </x:c>
      <x:c r="L28" s="11" t="str">
        <x:v>0300-1000027</x:v>
      </x:c>
      <x:c r="M28" s="11" t="str">
        <x:v>Nazimabad Block 3, Karachi</x:v>
      </x:c>
      <x:c r="N28" s="16" t="n">
        <x:v>3000</x:v>
      </x:c>
      <x:c r="O28" s="16" t="n">
        <x:v>3000</x:v>
      </x:c>
      <x:c r="P28" s="16" t="n">
        <x:f>N28-O28</x:f>
        <x:v>0</x:v>
      </x:c>
      <x:c r="Q28" s="11" t="str">
        <x:f>IF(P28&lt;=0,"PAID",IF(O28=0,"UNPAID","PARTIAL"))</x:f>
        <x:v>PAID</x:v>
      </x:c>
      <x:c r="R28" s="18" t="n">
        <x:v>46077</x:v>
      </x:c>
    </x:row>
    <x:row r="29">
      <x:c r="A29" s="11" t="n">
        <x:v>28</x:v>
      </x:c>
      <x:c r="B29" s="11" t="str">
        <x:v>ST028</x:v>
      </x:c>
      <x:c r="C29" s="11" t="str">
        <x:v>Iqra</x:v>
      </x:c>
      <x:c r="D29" s="11" t="str">
        <x:v>Muhammad Sajid</x:v>
      </x:c>
      <x:c r="E29" s="11" t="str">
        <x:v>Class 8</x:v>
      </x:c>
      <x:c r="F29" s="11" t="str">
        <x:v>A</x:v>
      </x:c>
      <x:c r="G29" s="11" t="n">
        <x:v>1036</x:v>
      </x:c>
      <x:c r="H29" s="11" t="n">
        <x:v>100</x:v>
      </x:c>
      <x:c r="I29" s="11" t="n">
        <x:v>64</x:v>
      </x:c>
      <x:c r="J29" s="14" t="n">
        <x:f>IF(H29=0,0,I29/H29)</x:f>
        <x:v>0.64</x:v>
      </x:c>
      <x:c r="K29" s="11" t="str">
        <x:f>IF(J29&gt;=0.7,"ELIGIBLE","NOT ELIGIBLE")</x:f>
        <x:v>NOT ELIGIBLE</x:v>
      </x:c>
      <x:c r="L29" s="11" t="str">
        <x:v>0300-1000028</x:v>
      </x:c>
      <x:c r="M29" s="11" t="str">
        <x:v>Gulshan Block 4, Karachi</x:v>
      </x:c>
      <x:c r="N29" s="16" t="n">
        <x:v>1100</x:v>
      </x:c>
      <x:c r="O29" s="16" t="n">
        <x:v>700</x:v>
      </x:c>
      <x:c r="P29" s="16" t="n">
        <x:f>N29-O29</x:f>
        <x:v>400</x:v>
      </x:c>
      <x:c r="Q29" s="11" t="str">
        <x:f>IF(P29&lt;=0,"PAID",IF(O29=0,"UNPAID","PARTIAL"))</x:f>
        <x:v>PARTIAL</x:v>
      </x:c>
      <x:c r="R29" s="18" t="n">
        <x:v>46079</x:v>
      </x:c>
    </x:row>
    <x:row r="30">
      <x:c r="A30" s="11" t="n">
        <x:v>29</x:v>
      </x:c>
      <x:c r="B30" s="11" t="str">
        <x:v>ST029</x:v>
      </x:c>
      <x:c r="C30" s="11" t="str">
        <x:v>Junaid</x:v>
      </x:c>
      <x:c r="D30" s="11" t="str">
        <x:v>Liaqat Ali</x:v>
      </x:c>
      <x:c r="E30" s="11" t="str">
        <x:v>Class 9</x:v>
      </x:c>
      <x:c r="F30" s="11" t="str">
        <x:v>B</x:v>
      </x:c>
      <x:c r="G30" s="11" t="n">
        <x:v>1073</x:v>
      </x:c>
      <x:c r="H30" s="11" t="n">
        <x:v>100</x:v>
      </x:c>
      <x:c r="I30" s="11" t="n">
        <x:v>59</x:v>
      </x:c>
      <x:c r="J30" s="14" t="n">
        <x:f>IF(H30=0,0,I30/H30)</x:f>
        <x:v>0.59</x:v>
      </x:c>
      <x:c r="K30" s="11" t="str">
        <x:f>IF(J30&gt;=0.7,"ELIGIBLE","NOT ELIGIBLE")</x:f>
        <x:v>NOT ELIGIBLE</x:v>
      </x:c>
      <x:c r="L30" s="11" t="str">
        <x:v>0300-1000029</x:v>
      </x:c>
      <x:c r="M30" s="11" t="str">
        <x:v>Gulshan Block 7, Karachi</x:v>
      </x:c>
      <x:c r="N30" s="16" t="n">
        <x:v>1300</x:v>
      </x:c>
      <x:c r="O30" s="16" t="n">
        <x:v>700</x:v>
      </x:c>
      <x:c r="P30" s="16" t="n">
        <x:f>N30-O30</x:f>
        <x:v>600</x:v>
      </x:c>
      <x:c r="Q30" s="11" t="str">
        <x:f>IF(P30&lt;=0,"PAID",IF(O30=0,"UNPAID","PARTIAL"))</x:f>
        <x:v>PARTIAL</x:v>
      </x:c>
      <x:c r="R30" s="18" t="n">
        <x:v>46081</x:v>
      </x:c>
    </x:row>
    <x:row r="31">
      <x:c r="A31" s="11" t="n">
        <x:v>30</x:v>
      </x:c>
      <x:c r="B31" s="11" t="str">
        <x:v>ST030</x:v>
      </x:c>
      <x:c r="C31" s="11" t="str">
        <x:v>Khadija</x:v>
      </x:c>
      <x:c r="D31" s="11" t="str">
        <x:v>Muhammad Latif</x:v>
      </x:c>
      <x:c r="E31" s="11" t="str">
        <x:v>Class 10</x:v>
      </x:c>
      <x:c r="F31" s="11" t="str">
        <x:v>C</x:v>
      </x:c>
      <x:c r="G31" s="11" t="n">
        <x:v>1010</x:v>
      </x:c>
      <x:c r="H31" s="11" t="n">
        <x:v>100</x:v>
      </x:c>
      <x:c r="I31" s="11" t="n">
        <x:v>87</x:v>
      </x:c>
      <x:c r="J31" s="14" t="n">
        <x:f>IF(H31=0,0,I31/H31)</x:f>
        <x:v>0.87</x:v>
      </x:c>
      <x:c r="K31" s="11" t="str">
        <x:f>IF(J31&gt;=0.7,"ELIGIBLE","NOT ELIGIBLE")</x:f>
        <x:v>ELIGIBLE</x:v>
      </x:c>
      <x:c r="L31" s="11" t="str">
        <x:v>0300-1000030</x:v>
      </x:c>
      <x:c r="M31" s="11" t="str">
        <x:v>North Nazimabad, Karachi</x:v>
      </x:c>
      <x:c r="N31" s="16" t="n">
        <x:v>1400</x:v>
      </x:c>
      <x:c r="O31" s="16" t="n">
        <x:v>1400</x:v>
      </x:c>
      <x:c r="P31" s="16" t="n">
        <x:f>N31-O31</x:f>
        <x:v>0</x:v>
      </x:c>
      <x:c r="Q31" s="11" t="str">
        <x:f>IF(P31&lt;=0,"PAID",IF(O31=0,"UNPAID","PARTIAL"))</x:f>
        <x:v>PAID</x:v>
      </x:c>
      <x:c r="R31" s="18" t="n">
        <x:v>46083</x:v>
      </x:c>
    </x:row>
    <x:row r="32">
      <x:c r="A32" s="11" t="n">
        <x:v>31</x:v>
      </x:c>
      <x:c r="B32" s="11" t="str">
        <x:v>ST031</x:v>
      </x:c>
      <x:c r="C32" s="11" t="str">
        <x:v>Kinza</x:v>
      </x:c>
      <x:c r="D32" s="11" t="str">
        <x:v>Muhammad Ishaq</x:v>
      </x:c>
      <x:c r="E32" s="11" t="str">
        <x:v>Class 1</x:v>
      </x:c>
      <x:c r="F32" s="11" t="str">
        <x:v>D</x:v>
      </x:c>
      <x:c r="G32" s="11" t="n">
        <x:v>1047</x:v>
      </x:c>
      <x:c r="H32" s="11" t="n">
        <x:v>100</x:v>
      </x:c>
      <x:c r="I32" s="11" t="n">
        <x:v>76</x:v>
      </x:c>
      <x:c r="J32" s="14" t="n">
        <x:f>IF(H32=0,0,I32/H32)</x:f>
        <x:v>0.76</x:v>
      </x:c>
      <x:c r="K32" s="11" t="str">
        <x:f>IF(J32&gt;=0.7,"ELIGIBLE","NOT ELIGIBLE")</x:f>
        <x:v>ELIGIBLE</x:v>
      </x:c>
      <x:c r="L32" s="11" t="str">
        <x:v>0300-1000031</x:v>
      </x:c>
      <x:c r="M32" s="11" t="str">
        <x:v>Orangi Sector 11, Karachi</x:v>
      </x:c>
      <x:c r="N32" s="16" t="n">
        <x:v>1500</x:v>
      </x:c>
      <x:c r="O32" s="16" t="n">
        <x:v>1500</x:v>
      </x:c>
      <x:c r="P32" s="16" t="n">
        <x:f>N32-O32</x:f>
        <x:v>0</x:v>
      </x:c>
      <x:c r="Q32" s="11" t="str">
        <x:f>IF(P32&lt;=0,"PAID",IF(O32=0,"UNPAID","PARTIAL"))</x:f>
        <x:v>PAID</x:v>
      </x:c>
      <x:c r="R32" s="18" t="n">
        <x:v>46085</x:v>
      </x:c>
    </x:row>
    <x:row r="33">
      <x:c r="A33" s="11" t="n">
        <x:v>32</x:v>
      </x:c>
      <x:c r="B33" s="11" t="str">
        <x:v>ST032</x:v>
      </x:c>
      <x:c r="C33" s="11" t="str">
        <x:v>Laiba</x:v>
      </x:c>
      <x:c r="D33" s="11" t="str">
        <x:v>Abdul Sattar</x:v>
      </x:c>
      <x:c r="E33" s="11" t="str">
        <x:v>Class 2</x:v>
      </x:c>
      <x:c r="F33" s="11" t="str">
        <x:v>A</x:v>
      </x:c>
      <x:c r="G33" s="11" t="n">
        <x:v>1084</x:v>
      </x:c>
      <x:c r="H33" s="11" t="n">
        <x:v>100</x:v>
      </x:c>
      <x:c r="I33" s="11" t="n">
        <x:v>82</x:v>
      </x:c>
      <x:c r="J33" s="14" t="n">
        <x:f>IF(H33=0,0,I33/H33)</x:f>
        <x:v>0.82</x:v>
      </x:c>
      <x:c r="K33" s="11" t="str">
        <x:f>IF(J33&gt;=0.7,"ELIGIBLE","NOT ELIGIBLE")</x:f>
        <x:v>ELIGIBLE</x:v>
      </x:c>
      <x:c r="L33" s="11" t="str">
        <x:v>0300-1000032</x:v>
      </x:c>
      <x:c r="M33" s="11" t="str">
        <x:v>Orangi Sector 15, Karachi</x:v>
      </x:c>
      <x:c r="N33" s="16" t="n">
        <x:v>1600</x:v>
      </x:c>
      <x:c r="O33" s="16" t="n">
        <x:v>1600</x:v>
      </x:c>
      <x:c r="P33" s="16" t="n">
        <x:f>N33-O33</x:f>
        <x:v>0</x:v>
      </x:c>
      <x:c r="Q33" s="11" t="str">
        <x:f>IF(P33&lt;=0,"PAID",IF(O33=0,"UNPAID","PARTIAL"))</x:f>
        <x:v>PAID</x:v>
      </x:c>
      <x:c r="R33" s="18" t="n">
        <x:v>46087</x:v>
      </x:c>
    </x:row>
    <x:row r="34">
      <x:c r="A34" s="11" t="n">
        <x:v>33</x:v>
      </x:c>
      <x:c r="B34" s="11" t="str">
        <x:v>ST033</x:v>
      </x:c>
      <x:c r="C34" s="11" t="str">
        <x:v>Maham</x:v>
      </x:c>
      <x:c r="D34" s="11" t="str">
        <x:v>Muhammad Bashir</x:v>
      </x:c>
      <x:c r="E34" s="11" t="str">
        <x:v>Class 3</x:v>
      </x:c>
      <x:c r="F34" s="11" t="str">
        <x:v>B</x:v>
      </x:c>
      <x:c r="G34" s="11" t="n">
        <x:v>1021</x:v>
      </x:c>
      <x:c r="H34" s="11" t="n">
        <x:v>100</x:v>
      </x:c>
      <x:c r="I34" s="11" t="n">
        <x:v>70</x:v>
      </x:c>
      <x:c r="J34" s="14" t="n">
        <x:f>IF(H34=0,0,I34/H34)</x:f>
        <x:v>0.7</x:v>
      </x:c>
      <x:c r="K34" s="11" t="str">
        <x:f>IF(J34&gt;=0.7,"ELIGIBLE","NOT ELIGIBLE")</x:f>
        <x:v>ELIGIBLE</x:v>
      </x:c>
      <x:c r="L34" s="11" t="str">
        <x:v>0300-1000033</x:v>
      </x:c>
      <x:c r="M34" s="11" t="str">
        <x:v>Baldia Sector 4, Karachi</x:v>
      </x:c>
      <x:c r="N34" s="16" t="n">
        <x:v>1700</x:v>
      </x:c>
      <x:c r="O34" s="16" t="n">
        <x:v>1700</x:v>
      </x:c>
      <x:c r="P34" s="16" t="n">
        <x:f>N34-O34</x:f>
        <x:v>0</x:v>
      </x:c>
      <x:c r="Q34" s="11" t="str">
        <x:f>IF(P34&lt;=0,"PAID",IF(O34=0,"UNPAID","PARTIAL"))</x:f>
        <x:v>PAID</x:v>
      </x:c>
      <x:c r="R34" s="18" t="n">
        <x:v>46089</x:v>
      </x:c>
    </x:row>
    <x:row r="35">
      <x:c r="A35" s="11" t="n">
        <x:v>34</x:v>
      </x:c>
      <x:c r="B35" s="11" t="str">
        <x:v>ST034</x:v>
      </x:c>
      <x:c r="C35" s="11" t="str">
        <x:v>Maryam</x:v>
      </x:c>
      <x:c r="D35" s="11" t="str">
        <x:v>Muhammad Rafiq</x:v>
      </x:c>
      <x:c r="E35" s="11" t="str">
        <x:v>Class 4</x:v>
      </x:c>
      <x:c r="F35" s="11" t="str">
        <x:v>C</x:v>
      </x:c>
      <x:c r="G35" s="11" t="n">
        <x:v>1058</x:v>
      </x:c>
      <x:c r="H35" s="11" t="n">
        <x:v>100</x:v>
      </x:c>
      <x:c r="I35" s="11" t="n">
        <x:v>67</x:v>
      </x:c>
      <x:c r="J35" s="14" t="n">
        <x:f>IF(H35=0,0,I35/H35)</x:f>
        <x:v>0.67</x:v>
      </x:c>
      <x:c r="K35" s="11" t="str">
        <x:f>IF(J35&gt;=0.7,"ELIGIBLE","NOT ELIGIBLE")</x:f>
        <x:v>NOT ELIGIBLE</x:v>
      </x:c>
      <x:c r="L35" s="11" t="str">
        <x:v>0300-1000034</x:v>
      </x:c>
      <x:c r="M35" s="11" t="str">
        <x:v>Landhi Sector 6, Karachi</x:v>
      </x:c>
      <x:c r="N35" s="16" t="n">
        <x:v>1800</x:v>
      </x:c>
      <x:c r="O35" s="16" t="n">
        <x:v>1800</x:v>
      </x:c>
      <x:c r="P35" s="16" t="n">
        <x:f>N35-O35</x:f>
        <x:v>0</x:v>
      </x:c>
      <x:c r="Q35" s="11" t="str">
        <x:f>IF(P35&lt;=0,"PAID",IF(O35=0,"UNPAID","PARTIAL"))</x:f>
        <x:v>PAID</x:v>
      </x:c>
      <x:c r="R35" s="18" t="n">
        <x:v>46091</x:v>
      </x:c>
    </x:row>
    <x:row r="36">
      <x:c r="A36" s="11" t="n">
        <x:v>35</x:v>
      </x:c>
      <x:c r="B36" s="11" t="str">
        <x:v>ST035</x:v>
      </x:c>
      <x:c r="C36" s="11" t="str">
        <x:v>Mehak</x:v>
      </x:c>
      <x:c r="D36" s="11" t="str">
        <x:v>Muhammad Idrees</x:v>
      </x:c>
      <x:c r="E36" s="11" t="str">
        <x:v>Class 5</x:v>
      </x:c>
      <x:c r="F36" s="11" t="str">
        <x:v>D</x:v>
      </x:c>
      <x:c r="G36" s="11" t="n">
        <x:v>1095</x:v>
      </x:c>
      <x:c r="H36" s="11" t="n">
        <x:v>100</x:v>
      </x:c>
      <x:c r="I36" s="11" t="n">
        <x:v>85</x:v>
      </x:c>
      <x:c r="J36" s="14" t="n">
        <x:f>IF(H36=0,0,I36/H36)</x:f>
        <x:v>0.85</x:v>
      </x:c>
      <x:c r="K36" s="11" t="str">
        <x:f>IF(J36&gt;=0.7,"ELIGIBLE","NOT ELIGIBLE")</x:f>
        <x:v>ELIGIBLE</x:v>
      </x:c>
      <x:c r="L36" s="11" t="str">
        <x:v>0300-1000035</x:v>
      </x:c>
      <x:c r="M36" s="11" t="str">
        <x:v>Korangi Sector 33, Karachi</x:v>
      </x:c>
      <x:c r="N36" s="16" t="n">
        <x:v>1900</x:v>
      </x:c>
      <x:c r="O36" s="16" t="n">
        <x:v>1900</x:v>
      </x:c>
      <x:c r="P36" s="16" t="n">
        <x:f>N36-O36</x:f>
        <x:v>0</x:v>
      </x:c>
      <x:c r="Q36" s="11" t="str">
        <x:f>IF(P36&lt;=0,"PAID",IF(O36=0,"UNPAID","PARTIAL"))</x:f>
        <x:v>PAID</x:v>
      </x:c>
      <x:c r="R36" s="18" t="n">
        <x:v>46093</x:v>
      </x:c>
    </x:row>
    <x:row r="37">
      <x:c r="A37" s="11" t="n">
        <x:v>36</x:v>
      </x:c>
      <x:c r="B37" s="11" t="str">
        <x:v>ST036</x:v>
      </x:c>
      <x:c r="C37" s="11" t="str">
        <x:v>Minahil</x:v>
      </x:c>
      <x:c r="D37" s="11" t="str">
        <x:v>Muhammad Yaqoob</x:v>
      </x:c>
      <x:c r="E37" s="11" t="str">
        <x:v>Class 6</x:v>
      </x:c>
      <x:c r="F37" s="11" t="str">
        <x:v>A</x:v>
      </x:c>
      <x:c r="G37" s="11" t="n">
        <x:v>1032</x:v>
      </x:c>
      <x:c r="H37" s="11" t="n">
        <x:v>100</x:v>
      </x:c>
      <x:c r="I37" s="11" t="n">
        <x:v>60</x:v>
      </x:c>
      <x:c r="J37" s="14" t="n">
        <x:f>IF(H37=0,0,I37/H37)</x:f>
        <x:v>0.6</x:v>
      </x:c>
      <x:c r="K37" s="11" t="str">
        <x:f>IF(J37&gt;=0.7,"ELIGIBLE","NOT ELIGIBLE")</x:f>
        <x:v>NOT ELIGIBLE</x:v>
      </x:c>
      <x:c r="L37" s="11" t="str">
        <x:v>0300-1000036</x:v>
      </x:c>
      <x:c r="M37" s="11" t="str">
        <x:v>Gulistan-e-Johar Block 2, Karachi</x:v>
      </x:c>
      <x:c r="N37" s="16" t="n">
        <x:v>2000</x:v>
      </x:c>
      <x:c r="O37" s="16" t="n">
        <x:v>2000</x:v>
      </x:c>
      <x:c r="P37" s="16" t="n">
        <x:f>N37-O37</x:f>
        <x:v>0</x:v>
      </x:c>
      <x:c r="Q37" s="11" t="str">
        <x:f>IF(P37&lt;=0,"PAID",IF(O37=0,"UNPAID","PARTIAL"))</x:f>
        <x:v>PAID</x:v>
      </x:c>
      <x:c r="R37" s="18" t="n">
        <x:v>46095</x:v>
      </x:c>
    </x:row>
    <x:row r="38">
      <x:c r="A38" s="11" t="n">
        <x:v>37</x:v>
      </x:c>
      <x:c r="B38" s="11" t="str">
        <x:v>ST037</x:v>
      </x:c>
      <x:c r="C38" s="11" t="str">
        <x:v>Mustafa</x:v>
      </x:c>
      <x:c r="D38" s="11" t="str">
        <x:v>Ghulam Rasool</x:v>
      </x:c>
      <x:c r="E38" s="11" t="str">
        <x:v>Class 7</x:v>
      </x:c>
      <x:c r="F38" s="11" t="str">
        <x:v>B</x:v>
      </x:c>
      <x:c r="G38" s="11" t="n">
        <x:v>1069</x:v>
      </x:c>
      <x:c r="H38" s="11" t="n">
        <x:v>100</x:v>
      </x:c>
      <x:c r="I38" s="11" t="n">
        <x:v>72</x:v>
      </x:c>
      <x:c r="J38" s="14" t="n">
        <x:f>IF(H38=0,0,I38/H38)</x:f>
        <x:v>0.72</x:v>
      </x:c>
      <x:c r="K38" s="11" t="str">
        <x:f>IF(J38&gt;=0.7,"ELIGIBLE","NOT ELIGIBLE")</x:f>
        <x:v>ELIGIBLE</x:v>
      </x:c>
      <x:c r="L38" s="11" t="str">
        <x:v>0300-1000037</x:v>
      </x:c>
      <x:c r="M38" s="11" t="str">
        <x:v>Gulistan-e-Johar Block 7, Karachi</x:v>
      </x:c>
      <x:c r="N38" s="16" t="n">
        <x:v>2100</x:v>
      </x:c>
      <x:c r="O38" s="16" t="n">
        <x:v>2100</x:v>
      </x:c>
      <x:c r="P38" s="16" t="n">
        <x:f>N38-O38</x:f>
        <x:v>0</x:v>
      </x:c>
      <x:c r="Q38" s="11" t="str">
        <x:f>IF(P38&lt;=0,"PAID",IF(O38=0,"UNPAID","PARTIAL"))</x:f>
        <x:v>PAID</x:v>
      </x:c>
      <x:c r="R38" s="18" t="n">
        <x:v>46097</x:v>
      </x:c>
    </x:row>
    <x:row r="39">
      <x:c r="A39" s="11" t="n">
        <x:v>38</x:v>
      </x:c>
      <x:c r="B39" s="11" t="str">
        <x:v>ST038</x:v>
      </x:c>
      <x:c r="C39" s="11" t="str">
        <x:v>Nimra</x:v>
      </x:c>
      <x:c r="D39" s="11" t="str">
        <x:v>Muhammad Nawaz</x:v>
      </x:c>
      <x:c r="E39" s="11" t="str">
        <x:v>Class 8</x:v>
      </x:c>
      <x:c r="F39" s="11" t="str">
        <x:v>C</x:v>
      </x:c>
      <x:c r="G39" s="11" t="n">
        <x:v>1006</x:v>
      </x:c>
      <x:c r="H39" s="11" t="n">
        <x:v>100</x:v>
      </x:c>
      <x:c r="I39" s="11" t="n">
        <x:v>68</x:v>
      </x:c>
      <x:c r="J39" s="14" t="n">
        <x:f>IF(H39=0,0,I39/H39)</x:f>
        <x:v>0.68</x:v>
      </x:c>
      <x:c r="K39" s="11" t="str">
        <x:f>IF(J39&gt;=0.7,"ELIGIBLE","NOT ELIGIBLE")</x:f>
        <x:v>NOT ELIGIBLE</x:v>
      </x:c>
      <x:c r="L39" s="11" t="str">
        <x:v>0300-1000038</x:v>
      </x:c>
      <x:c r="M39" s="11" t="str">
        <x:v>Scheme 33 Sector 15, Karachi</x:v>
      </x:c>
      <x:c r="N39" s="16" t="n">
        <x:v>2200</x:v>
      </x:c>
      <x:c r="O39" s="16" t="n">
        <x:v>2200</x:v>
      </x:c>
      <x:c r="P39" s="16" t="n">
        <x:f>N39-O39</x:f>
        <x:v>0</x:v>
      </x:c>
      <x:c r="Q39" s="11" t="str">
        <x:f>IF(P39&lt;=0,"PAID",IF(O39=0,"UNPAID","PARTIAL"))</x:f>
        <x:v>PAID</x:v>
      </x:c>
      <x:c r="R39" s="18" t="n">
        <x:v>46099</x:v>
      </x:c>
    </x:row>
    <x:row r="40">
      <x:c r="A40" s="11" t="n">
        <x:v>39</x:v>
      </x:c>
      <x:c r="B40" s="11" t="str">
        <x:v>ST039</x:v>
      </x:c>
      <x:c r="C40" s="11" t="str">
        <x:v>Noor</x:v>
      </x:c>
      <x:c r="D40" s="11" t="str">
        <x:v>Muhammad Rauf</x:v>
      </x:c>
      <x:c r="E40" s="11" t="str">
        <x:v>Class 9</x:v>
      </x:c>
      <x:c r="F40" s="11" t="str">
        <x:v>D</x:v>
      </x:c>
      <x:c r="G40" s="11" t="n">
        <x:v>1043</x:v>
      </x:c>
      <x:c r="H40" s="11" t="n">
        <x:v>100</x:v>
      </x:c>
      <x:c r="I40" s="11" t="n">
        <x:v>90</x:v>
      </x:c>
      <x:c r="J40" s="14" t="n">
        <x:f>IF(H40=0,0,I40/H40)</x:f>
        <x:v>0.9</x:v>
      </x:c>
      <x:c r="K40" s="11" t="str">
        <x:f>IF(J40&gt;=0.7,"ELIGIBLE","NOT ELIGIBLE")</x:f>
        <x:v>ELIGIBLE</x:v>
      </x:c>
      <x:c r="L40" s="11" t="str">
        <x:v>0300-1000039</x:v>
      </x:c>
      <x:c r="M40" s="11" t="str">
        <x:v>Buffer Zone Sector 16, Karachi</x:v>
      </x:c>
      <x:c r="N40" s="16" t="n">
        <x:v>2300</x:v>
      </x:c>
      <x:c r="O40" s="16" t="n">
        <x:v>2300</x:v>
      </x:c>
      <x:c r="P40" s="16" t="n">
        <x:f>N40-O40</x:f>
        <x:v>0</x:v>
      </x:c>
      <x:c r="Q40" s="11" t="str">
        <x:f>IF(P40&lt;=0,"PAID",IF(O40=0,"UNPAID","PARTIAL"))</x:f>
        <x:v>PAID</x:v>
      </x:c>
      <x:c r="R40" s="18" t="n">
        <x:v>46101</x:v>
      </x:c>
    </x:row>
    <x:row r="41">
      <x:c r="A41" s="11" t="n">
        <x:v>40</x:v>
      </x:c>
      <x:c r="B41" s="11" t="str">
        <x:v>ST040</x:v>
      </x:c>
      <x:c r="C41" s="11" t="str">
        <x:v>Rabia</x:v>
      </x:c>
      <x:c r="D41" s="11" t="str">
        <x:v>Muhammad Afzal</x:v>
      </x:c>
      <x:c r="E41" s="11" t="str">
        <x:v>Class 10</x:v>
      </x:c>
      <x:c r="F41" s="11" t="str">
        <x:v>A</x:v>
      </x:c>
      <x:c r="G41" s="11" t="n">
        <x:v>1080</x:v>
      </x:c>
      <x:c r="H41" s="11" t="n">
        <x:v>100</x:v>
      </x:c>
      <x:c r="I41" s="11" t="n">
        <x:v>75</x:v>
      </x:c>
      <x:c r="J41" s="14" t="n">
        <x:f>IF(H41=0,0,I41/H41)</x:f>
        <x:v>0.75</x:v>
      </x:c>
      <x:c r="K41" s="11" t="str">
        <x:f>IF(J41&gt;=0.7,"ELIGIBLE","NOT ELIGIBLE")</x:f>
        <x:v>ELIGIBLE</x:v>
      </x:c>
      <x:c r="L41" s="11" t="str">
        <x:v>0300-1000040</x:v>
      </x:c>
      <x:c r="M41" s="11" t="str">
        <x:v>Saddar Area, Karachi</x:v>
      </x:c>
      <x:c r="N41" s="16" t="n">
        <x:v>2400</x:v>
      </x:c>
      <x:c r="O41" s="16" t="n">
        <x:v>2400</x:v>
      </x:c>
      <x:c r="P41" s="16" t="n">
        <x:f>N41-O41</x:f>
        <x:v>0</x:v>
      </x:c>
      <x:c r="Q41" s="11" t="str">
        <x:f>IF(P41&lt;=0,"PAID",IF(O41=0,"UNPAID","PARTIAL"))</x:f>
        <x:v>PAID</x:v>
      </x:c>
      <x:c r="R41" s="18" t="n">
        <x:v>46103</x:v>
      </x:c>
    </x:row>
    <x:row r="42">
      <x:c r="A42" s="11" t="n">
        <x:v>41</x:v>
      </x:c>
      <x:c r="B42" s="11" t="str">
        <x:v>ST041</x:v>
      </x:c>
      <x:c r="C42" s="11" t="str">
        <x:v>Rayyan</x:v>
      </x:c>
      <x:c r="D42" s="11" t="str">
        <x:v>Muhammad Shabbir</x:v>
      </x:c>
      <x:c r="E42" s="11" t="str">
        <x:v>Class 1</x:v>
      </x:c>
      <x:c r="F42" s="11" t="str">
        <x:v>B</x:v>
      </x:c>
      <x:c r="G42" s="11" t="n">
        <x:v>1017</x:v>
      </x:c>
      <x:c r="H42" s="11" t="n">
        <x:v>100</x:v>
      </x:c>
      <x:c r="I42" s="11" t="n">
        <x:v>80</x:v>
      </x:c>
      <x:c r="J42" s="14" t="n">
        <x:f>IF(H42=0,0,I42/H42)</x:f>
        <x:v>0.8</x:v>
      </x:c>
      <x:c r="K42" s="11" t="str">
        <x:f>IF(J42&gt;=0.7,"ELIGIBLE","NOT ELIGIBLE")</x:f>
        <x:v>ELIGIBLE</x:v>
      </x:c>
      <x:c r="L42" s="11" t="str">
        <x:v>0300-1000041</x:v>
      </x:c>
      <x:c r="M42" s="11" t="str">
        <x:v>Clifton Block 7, Karachi</x:v>
      </x:c>
      <x:c r="N42" s="16" t="n">
        <x:v>2500</x:v>
      </x:c>
      <x:c r="O42" s="16" t="n">
        <x:v>2500</x:v>
      </x:c>
      <x:c r="P42" s="16" t="n">
        <x:f>N42-O42</x:f>
        <x:v>0</x:v>
      </x:c>
      <x:c r="Q42" s="11" t="str">
        <x:f>IF(P42&lt;=0,"PAID",IF(O42=0,"UNPAID","PARTIAL"))</x:f>
        <x:v>PAID</x:v>
      </x:c>
      <x:c r="R42" s="18" t="n">
        <x:v>46105</x:v>
      </x:c>
    </x:row>
    <x:row r="43">
      <x:c r="A43" s="11" t="n">
        <x:v>42</x:v>
      </x:c>
      <x:c r="B43" s="11" t="str">
        <x:v>ST042</x:v>
      </x:c>
      <x:c r="C43" s="11" t="str">
        <x:v>Rizwan</x:v>
      </x:c>
      <x:c r="D43" s="11" t="str">
        <x:v>Muhammad Munir</x:v>
      </x:c>
      <x:c r="E43" s="11" t="str">
        <x:v>Class 2</x:v>
      </x:c>
      <x:c r="F43" s="11" t="str">
        <x:v>C</x:v>
      </x:c>
      <x:c r="G43" s="11" t="n">
        <x:v>1054</x:v>
      </x:c>
      <x:c r="H43" s="11" t="n">
        <x:v>100</x:v>
      </x:c>
      <x:c r="I43" s="11" t="n">
        <x:v>66</x:v>
      </x:c>
      <x:c r="J43" s="14" t="n">
        <x:f>IF(H43=0,0,I43/H43)</x:f>
        <x:v>0.66</x:v>
      </x:c>
      <x:c r="K43" s="11" t="str">
        <x:f>IF(J43&gt;=0.7,"ELIGIBLE","NOT ELIGIBLE")</x:f>
        <x:v>NOT ELIGIBLE</x:v>
      </x:c>
      <x:c r="L43" s="11" t="str">
        <x:v>0300-1000042</x:v>
      </x:c>
      <x:c r="M43" s="11" t="str">
        <x:v>Clifton Block 8, Karachi</x:v>
      </x:c>
      <x:c r="N43" s="16" t="n">
        <x:v>2600</x:v>
      </x:c>
      <x:c r="O43" s="16" t="n">
        <x:v>2600</x:v>
      </x:c>
      <x:c r="P43" s="16" t="n">
        <x:f>N43-O43</x:f>
        <x:v>0</x:v>
      </x:c>
      <x:c r="Q43" s="11" t="str">
        <x:f>IF(P43&lt;=0,"PAID",IF(O43=0,"UNPAID","PARTIAL"))</x:f>
        <x:v>PAID</x:v>
      </x:c>
      <x:c r="R43" s="18" t="n">
        <x:v>46107</x:v>
      </x:c>
    </x:row>
    <x:row r="44">
      <x:c r="A44" s="11" t="n">
        <x:v>43</x:v>
      </x:c>
      <x:c r="B44" s="11" t="str">
        <x:v>ST043</x:v>
      </x:c>
      <x:c r="C44" s="11" t="str">
        <x:v>Saad</x:v>
      </x:c>
      <x:c r="D44" s="11" t="str">
        <x:v>Muhammad Ilyas</x:v>
      </x:c>
      <x:c r="E44" s="11" t="str">
        <x:v>Class 3</x:v>
      </x:c>
      <x:c r="F44" s="11" t="str">
        <x:v>D</x:v>
      </x:c>
      <x:c r="G44" s="11" t="n">
        <x:v>1091</x:v>
      </x:c>
      <x:c r="H44" s="11" t="n">
        <x:v>100</x:v>
      </x:c>
      <x:c r="I44" s="11" t="n">
        <x:v>58</x:v>
      </x:c>
      <x:c r="J44" s="14" t="n">
        <x:f>IF(H44=0,0,I44/H44)</x:f>
        <x:v>0.58</x:v>
      </x:c>
      <x:c r="K44" s="11" t="str">
        <x:f>IF(J44&gt;=0.7,"ELIGIBLE","NOT ELIGIBLE")</x:f>
        <x:v>NOT ELIGIBLE</x:v>
      </x:c>
      <x:c r="L44" s="11" t="str">
        <x:v>0300-1000043</x:v>
      </x:c>
      <x:c r="M44" s="11" t="str">
        <x:v>DHA Phase 6, Karachi</x:v>
      </x:c>
      <x:c r="N44" s="16" t="n">
        <x:v>2700</x:v>
      </x:c>
      <x:c r="O44" s="16" t="n">
        <x:v>2700</x:v>
      </x:c>
      <x:c r="P44" s="16" t="n">
        <x:f>N44-O44</x:f>
        <x:v>0</x:v>
      </x:c>
      <x:c r="Q44" s="11" t="str">
        <x:f>IF(P44&lt;=0,"PAID",IF(O44=0,"UNPAID","PARTIAL"))</x:f>
        <x:v>PAID</x:v>
      </x:c>
      <x:c r="R44" s="18" t="n">
        <x:v>46109</x:v>
      </x:c>
    </x:row>
    <x:row r="45">
      <x:c r="A45" s="11" t="n">
        <x:v>44</x:v>
      </x:c>
      <x:c r="B45" s="11" t="str">
        <x:v>ST044</x:v>
      </x:c>
      <x:c r="C45" s="11" t="str">
        <x:v>Saba</x:v>
      </x:c>
      <x:c r="D45" s="11" t="str">
        <x:v>Muhammad Zafar</x:v>
      </x:c>
      <x:c r="E45" s="11" t="str">
        <x:v>Class 4</x:v>
      </x:c>
      <x:c r="F45" s="11" t="str">
        <x:v>A</x:v>
      </x:c>
      <x:c r="G45" s="11" t="n">
        <x:v>1028</x:v>
      </x:c>
      <x:c r="H45" s="11" t="n">
        <x:v>100</x:v>
      </x:c>
      <x:c r="I45" s="11" t="n">
        <x:v>73</x:v>
      </x:c>
      <x:c r="J45" s="14" t="n">
        <x:f>IF(H45=0,0,I45/H45)</x:f>
        <x:v>0.73</x:v>
      </x:c>
      <x:c r="K45" s="11" t="str">
        <x:f>IF(J45&gt;=0.7,"ELIGIBLE","NOT ELIGIBLE")</x:f>
        <x:v>ELIGIBLE</x:v>
      </x:c>
      <x:c r="L45" s="11" t="str">
        <x:v>0300-1000044</x:v>
      </x:c>
      <x:c r="M45" s="11" t="str">
        <x:v>DHA Phase 8, Karachi</x:v>
      </x:c>
      <x:c r="N45" s="16" t="n">
        <x:v>2800</x:v>
      </x:c>
      <x:c r="O45" s="16" t="n">
        <x:v>2800</x:v>
      </x:c>
      <x:c r="P45" s="16" t="n">
        <x:f>N45-O45</x:f>
        <x:v>0</x:v>
      </x:c>
      <x:c r="Q45" s="11" t="str">
        <x:f>IF(P45&lt;=0,"PAID",IF(O45=0,"UNPAID","PARTIAL"))</x:f>
        <x:v>PAID</x:v>
      </x:c>
      <x:c r="R45" s="18" t="n">
        <x:v>46111</x:v>
      </x:c>
    </x:row>
    <x:row r="46">
      <x:c r="A46" s="11" t="n">
        <x:v>45</x:v>
      </x:c>
      <x:c r="B46" s="11" t="str">
        <x:v>ST045</x:v>
      </x:c>
      <x:c r="C46" s="11" t="str">
        <x:v>Salman</x:v>
      </x:c>
      <x:c r="D46" s="11" t="str">
        <x:v>Muhammad Arif</x:v>
      </x:c>
      <x:c r="E46" s="11" t="str">
        <x:v>Class 5</x:v>
      </x:c>
      <x:c r="F46" s="11" t="str">
        <x:v>B</x:v>
      </x:c>
      <x:c r="G46" s="11" t="n">
        <x:v>1065</x:v>
      </x:c>
      <x:c r="H46" s="11" t="n">
        <x:v>100</x:v>
      </x:c>
      <x:c r="I46" s="11" t="n">
        <x:v>77</x:v>
      </x:c>
      <x:c r="J46" s="14" t="n">
        <x:f>IF(H46=0,0,I46/H46)</x:f>
        <x:v>0.77</x:v>
      </x:c>
      <x:c r="K46" s="11" t="str">
        <x:f>IF(J46&gt;=0.7,"ELIGIBLE","NOT ELIGIBLE")</x:f>
        <x:v>ELIGIBLE</x:v>
      </x:c>
      <x:c r="L46" s="11" t="str">
        <x:v>0300-1000045</x:v>
      </x:c>
      <x:c r="M46" s="11" t="str">
        <x:v>Malir Halt, Karachi</x:v>
      </x:c>
      <x:c r="N46" s="16" t="n">
        <x:v>3000</x:v>
      </x:c>
      <x:c r="O46" s="16" t="n">
        <x:v>3000</x:v>
      </x:c>
      <x:c r="P46" s="16" t="n">
        <x:f>N46-O46</x:f>
        <x:v>0</x:v>
      </x:c>
      <x:c r="Q46" s="11" t="str">
        <x:f>IF(P46&lt;=0,"PAID",IF(O46=0,"UNPAID","PARTIAL"))</x:f>
        <x:v>PAID</x:v>
      </x:c>
      <x:c r="R46" s="18" t="n">
        <x:v>46113</x:v>
      </x:c>
    </x:row>
    <x:row r="47">
      <x:c r="A47" s="11" t="n">
        <x:v>46</x:v>
      </x:c>
      <x:c r="B47" s="11" t="str">
        <x:v>ST046</x:v>
      </x:c>
      <x:c r="C47" s="11" t="str">
        <x:v>Sana</x:v>
      </x:c>
      <x:c r="D47" s="11" t="str">
        <x:v>Muhammad Nazir</x:v>
      </x:c>
      <x:c r="E47" s="11" t="str">
        <x:v>Class 6</x:v>
      </x:c>
      <x:c r="F47" s="11" t="str">
        <x:v>C</x:v>
      </x:c>
      <x:c r="G47" s="11" t="n">
        <x:v>1002</x:v>
      </x:c>
      <x:c r="H47" s="11" t="n">
        <x:v>100</x:v>
      </x:c>
      <x:c r="I47" s="11" t="n">
        <x:v>84</x:v>
      </x:c>
      <x:c r="J47" s="14" t="n">
        <x:f>IF(H47=0,0,I47/H47)</x:f>
        <x:v>0.84</x:v>
      </x:c>
      <x:c r="K47" s="11" t="str">
        <x:f>IF(J47&gt;=0.7,"ELIGIBLE","NOT ELIGIBLE")</x:f>
        <x:v>ELIGIBLE</x:v>
      </x:c>
      <x:c r="L47" s="11" t="str">
        <x:v>0300-1000046</x:v>
      </x:c>
      <x:c r="M47" s="11" t="str">
        <x:v>Malir Model Colony, Karachi</x:v>
      </x:c>
      <x:c r="N47" s="16" t="n">
        <x:v>1200</x:v>
      </x:c>
      <x:c r="O47" s="16" t="n">
        <x:v>1200</x:v>
      </x:c>
      <x:c r="P47" s="16" t="n">
        <x:f>N47-O47</x:f>
        <x:v>0</x:v>
      </x:c>
      <x:c r="Q47" s="11" t="str">
        <x:f>IF(P47&lt;=0,"PAID",IF(O47=0,"UNPAID","PARTIAL"))</x:f>
        <x:v>PAID</x:v>
      </x:c>
      <x:c r="R47" s="18" t="n">
        <x:v>46115</x:v>
      </x:c>
    </x:row>
    <x:row r="48">
      <x:c r="A48" s="11" t="n">
        <x:v>47</x:v>
      </x:c>
      <x:c r="B48" s="11" t="str">
        <x:v>ST047</x:v>
      </x:c>
      <x:c r="C48" s="11" t="str">
        <x:v>Shahzaib</x:v>
      </x:c>
      <x:c r="D48" s="11" t="str">
        <x:v>Muhammad Siddique</x:v>
      </x:c>
      <x:c r="E48" s="11" t="str">
        <x:v>Class 7</x:v>
      </x:c>
      <x:c r="F48" s="11" t="str">
        <x:v>D</x:v>
      </x:c>
      <x:c r="G48" s="11" t="n">
        <x:v>1039</x:v>
      </x:c>
      <x:c r="H48" s="11" t="n">
        <x:v>100</x:v>
      </x:c>
      <x:c r="I48" s="11" t="n">
        <x:v>69</x:v>
      </x:c>
      <x:c r="J48" s="14" t="n">
        <x:f>IF(H48=0,0,I48/H48)</x:f>
        <x:v>0.69</x:v>
      </x:c>
      <x:c r="K48" s="11" t="str">
        <x:f>IF(J48&gt;=0.7,"ELIGIBLE","NOT ELIGIBLE")</x:f>
        <x:v>NOT ELIGIBLE</x:v>
      </x:c>
      <x:c r="L48" s="11" t="str">
        <x:v>0300-1000047</x:v>
      </x:c>
      <x:c r="M48" s="11" t="str">
        <x:v>Korangi Crossing, Karachi</x:v>
      </x:c>
      <x:c r="N48" s="16" t="n">
        <x:v>1300</x:v>
      </x:c>
      <x:c r="O48" s="16" t="n">
        <x:v>1300</x:v>
      </x:c>
      <x:c r="P48" s="16" t="n">
        <x:f>N48-O48</x:f>
        <x:v>0</x:v>
      </x:c>
      <x:c r="Q48" s="11" t="str">
        <x:f>IF(P48&lt;=0,"PAID",IF(O48=0,"UNPAID","PARTIAL"))</x:f>
        <x:v>PAID</x:v>
      </x:c>
      <x:c r="R48" s="18" t="n">
        <x:v>46117</x:v>
      </x:c>
    </x:row>
    <x:row r="49">
      <x:c r="A49" s="11" t="n">
        <x:v>48</x:v>
      </x:c>
      <x:c r="B49" s="11" t="str">
        <x:v>ST048</x:v>
      </x:c>
      <x:c r="C49" s="11" t="str">
        <x:v>Taha</x:v>
      </x:c>
      <x:c r="D49" s="11" t="str">
        <x:v>Muhammad Tariq</x:v>
      </x:c>
      <x:c r="E49" s="11" t="str">
        <x:v>Class 8</x:v>
      </x:c>
      <x:c r="F49" s="11" t="str">
        <x:v>A</x:v>
      </x:c>
      <x:c r="G49" s="11" t="n">
        <x:v>1076</x:v>
      </x:c>
      <x:c r="H49" s="11" t="n">
        <x:v>100</x:v>
      </x:c>
      <x:c r="I49" s="11" t="n">
        <x:v>71</x:v>
      </x:c>
      <x:c r="J49" s="14" t="n">
        <x:f>IF(H49=0,0,I49/H49)</x:f>
        <x:v>0.71</x:v>
      </x:c>
      <x:c r="K49" s="11" t="str">
        <x:f>IF(J49&gt;=0.7,"ELIGIBLE","NOT ELIGIBLE")</x:f>
        <x:v>ELIGIBLE</x:v>
      </x:c>
      <x:c r="L49" s="11" t="str">
        <x:v>0300-1000048</x:v>
      </x:c>
      <x:c r="M49" s="11" t="str">
        <x:v>Landhi Colony, Karachi</x:v>
      </x:c>
      <x:c r="N49" s="16" t="n">
        <x:v>1400</x:v>
      </x:c>
      <x:c r="O49" s="16" t="n">
        <x:v>1400</x:v>
      </x:c>
      <x:c r="P49" s="16" t="n">
        <x:f>N49-O49</x:f>
        <x:v>0</x:v>
      </x:c>
      <x:c r="Q49" s="11" t="str">
        <x:f>IF(P49&lt;=0,"PAID",IF(O49=0,"UNPAID","PARTIAL"))</x:f>
        <x:v>PAID</x:v>
      </x:c>
      <x:c r="R49" s="18" t="n">
        <x:v>46119</x:v>
      </x:c>
    </x:row>
    <x:row r="50">
      <x:c r="A50" s="11" t="n">
        <x:v>49</x:v>
      </x:c>
      <x:c r="B50" s="11" t="str">
        <x:v>ST049</x:v>
      </x:c>
      <x:c r="C50" s="11" t="str">
        <x:v>Talha</x:v>
      </x:c>
      <x:c r="D50" s="11" t="str">
        <x:v>Muhammad Ameen</x:v>
      </x:c>
      <x:c r="E50" s="11" t="str">
        <x:v>Class 9</x:v>
      </x:c>
      <x:c r="F50" s="11" t="str">
        <x:v>B</x:v>
      </x:c>
      <x:c r="G50" s="11" t="n">
        <x:v>1013</x:v>
      </x:c>
      <x:c r="H50" s="11" t="n">
        <x:v>100</x:v>
      </x:c>
      <x:c r="I50" s="11" t="n">
        <x:v>88</x:v>
      </x:c>
      <x:c r="J50" s="14" t="n">
        <x:f>IF(H50=0,0,I50/H50)</x:f>
        <x:v>0.88</x:v>
      </x:c>
      <x:c r="K50" s="11" t="str">
        <x:f>IF(J50&gt;=0.7,"ELIGIBLE","NOT ELIGIBLE")</x:f>
        <x:v>ELIGIBLE</x:v>
      </x:c>
      <x:c r="L50" s="11" t="str">
        <x:v>0300-1000049</x:v>
      </x:c>
      <x:c r="M50" s="11" t="str">
        <x:v>Gulshan-e-Maymar, Karachi</x:v>
      </x:c>
      <x:c r="N50" s="16" t="n">
        <x:v>1500</x:v>
      </x:c>
      <x:c r="O50" s="16" t="n">
        <x:v>1500</x:v>
      </x:c>
      <x:c r="P50" s="16" t="n">
        <x:f>N50-O50</x:f>
        <x:v>0</x:v>
      </x:c>
      <x:c r="Q50" s="11" t="str">
        <x:f>IF(P50&lt;=0,"PAID",IF(O50=0,"UNPAID","PARTIAL"))</x:f>
        <x:v>PAID</x:v>
      </x:c>
      <x:c r="R50" s="18" t="n">
        <x:v>46121</x:v>
      </x:c>
    </x:row>
    <x:row r="51">
      <x:c r="A51" s="11" t="n">
        <x:v>50</x:v>
      </x:c>
      <x:c r="B51" s="11" t="str">
        <x:v>ST050</x:v>
      </x:c>
      <x:c r="C51" s="11" t="str">
        <x:v>Umar</x:v>
      </x:c>
      <x:c r="D51" s="11" t="str">
        <x:v>Muhammad Ayub</x:v>
      </x:c>
      <x:c r="E51" s="11" t="str">
        <x:v>Class 10</x:v>
      </x:c>
      <x:c r="F51" s="11" t="str">
        <x:v>C</x:v>
      </x:c>
      <x:c r="G51" s="11" t="n">
        <x:v>1050</x:v>
      </x:c>
      <x:c r="H51" s="11" t="n">
        <x:v>100</x:v>
      </x:c>
      <x:c r="I51" s="11" t="n">
        <x:v>62</x:v>
      </x:c>
      <x:c r="J51" s="14" t="n">
        <x:f>IF(H51=0,0,I51/H51)</x:f>
        <x:v>0.62</x:v>
      </x:c>
      <x:c r="K51" s="11" t="str">
        <x:f>IF(J51&gt;=0.7,"ELIGIBLE","NOT ELIGIBLE")</x:f>
        <x:v>NOT ELIGIBLE</x:v>
      </x:c>
      <x:c r="L51" s="11" t="str">
        <x:v>0300-1000050</x:v>
      </x:c>
      <x:c r="M51" s="11" t="str">
        <x:v>Surjani Town, Karachi</x:v>
      </x:c>
      <x:c r="N51" s="16" t="n">
        <x:v>1600</x:v>
      </x:c>
      <x:c r="O51" s="16" t="n">
        <x:v>1600</x:v>
      </x:c>
      <x:c r="P51" s="16" t="n">
        <x:f>N51-O51</x:f>
        <x:v>0</x:v>
      </x:c>
      <x:c r="Q51" s="11" t="str">
        <x:f>IF(P51&lt;=0,"PAID",IF(O51=0,"UNPAID","PARTIAL"))</x:f>
        <x:v>PAID</x:v>
      </x:c>
      <x:c r="R51" s="18" t="n">
        <x:v>46123</x:v>
      </x:c>
    </x:row>
    <x:row r="52">
      <x:c r="A52" s="11" t="n">
        <x:v>51</x:v>
      </x:c>
      <x:c r="B52" s="11" t="str">
        <x:v>ST051</x:v>
      </x:c>
      <x:c r="C52" s="11" t="str">
        <x:v>Usman</x:v>
      </x:c>
      <x:c r="D52" s="11" t="str">
        <x:v>Muhammad Ramzan</x:v>
      </x:c>
      <x:c r="E52" s="11" t="str">
        <x:v>Class 1</x:v>
      </x:c>
      <x:c r="F52" s="11" t="str">
        <x:v>D</x:v>
      </x:c>
      <x:c r="G52" s="11" t="n">
        <x:v>1087</x:v>
      </x:c>
      <x:c r="H52" s="11" t="n">
        <x:v>100</x:v>
      </x:c>
      <x:c r="I52" s="11" t="n">
        <x:v>79</x:v>
      </x:c>
      <x:c r="J52" s="14" t="n">
        <x:f>IF(H52=0,0,I52/H52)</x:f>
        <x:v>0.79</x:v>
      </x:c>
      <x:c r="K52" s="11" t="str">
        <x:f>IF(J52&gt;=0.7,"ELIGIBLE","NOT ELIGIBLE")</x:f>
        <x:v>ELIGIBLE</x:v>
      </x:c>
      <x:c r="L52" s="11" t="str">
        <x:v>0300-1000051</x:v>
      </x:c>
      <x:c r="M52" s="11" t="str">
        <x:v>New Karachi Sector 5, Karachi</x:v>
      </x:c>
      <x:c r="N52" s="16" t="n">
        <x:v>1700</x:v>
      </x:c>
      <x:c r="O52" s="16" t="n">
        <x:v>1700</x:v>
      </x:c>
      <x:c r="P52" s="16" t="n">
        <x:f>N52-O52</x:f>
        <x:v>0</x:v>
      </x:c>
      <x:c r="Q52" s="11" t="str">
        <x:f>IF(P52&lt;=0,"PAID",IF(O52=0,"UNPAID","PARTIAL"))</x:f>
        <x:v>PAID</x:v>
      </x:c>
      <x:c r="R52" s="18" t="n">
        <x:v>46125</x:v>
      </x:c>
    </x:row>
    <x:row r="53">
      <x:c r="A53" s="11" t="n">
        <x:v>52</x:v>
      </x:c>
      <x:c r="B53" s="11" t="str">
        <x:v>ST052</x:v>
      </x:c>
      <x:c r="C53" s="11" t="str">
        <x:v>Waqas</x:v>
      </x:c>
      <x:c r="D53" s="11" t="str">
        <x:v>Muhammad Yasin</x:v>
      </x:c>
      <x:c r="E53" s="11" t="str">
        <x:v>Class 2</x:v>
      </x:c>
      <x:c r="F53" s="11" t="str">
        <x:v>A</x:v>
      </x:c>
      <x:c r="G53" s="11" t="n">
        <x:v>1024</x:v>
      </x:c>
      <x:c r="H53" s="11" t="n">
        <x:v>100</x:v>
      </x:c>
      <x:c r="I53" s="11" t="n">
        <x:v>65</x:v>
      </x:c>
      <x:c r="J53" s="14" t="n">
        <x:f>IF(H53=0,0,I53/H53)</x:f>
        <x:v>0.65</x:v>
      </x:c>
      <x:c r="K53" s="11" t="str">
        <x:f>IF(J53&gt;=0.7,"ELIGIBLE","NOT ELIGIBLE")</x:f>
        <x:v>NOT ELIGIBLE</x:v>
      </x:c>
      <x:c r="L53" s="11" t="str">
        <x:v>0300-1000052</x:v>
      </x:c>
      <x:c r="M53" s="11" t="str">
        <x:v>New Karachi Sector 11, Karachi</x:v>
      </x:c>
      <x:c r="N53" s="16" t="n">
        <x:v>1800</x:v>
      </x:c>
      <x:c r="O53" s="16" t="n">
        <x:v>1800</x:v>
      </x:c>
      <x:c r="P53" s="16" t="n">
        <x:f>N53-O53</x:f>
        <x:v>0</x:v>
      </x:c>
      <x:c r="Q53" s="11" t="str">
        <x:f>IF(P53&lt;=0,"PAID",IF(O53=0,"UNPAID","PARTIAL"))</x:f>
        <x:v>PAID</x:v>
      </x:c>
      <x:c r="R53" s="18" t="n">
        <x:v>46127</x:v>
      </x:c>
    </x:row>
    <x:row r="54">
      <x:c r="A54" s="11" t="n">
        <x:v>53</x:v>
      </x:c>
      <x:c r="B54" s="11" t="str">
        <x:v>ST053</x:v>
      </x:c>
      <x:c r="C54" s="11" t="str">
        <x:v>Zain</x:v>
      </x:c>
      <x:c r="D54" s="11" t="str">
        <x:v>Muhammad Mushtaq</x:v>
      </x:c>
      <x:c r="E54" s="11" t="str">
        <x:v>Class 3</x:v>
      </x:c>
      <x:c r="F54" s="11" t="str">
        <x:v>B</x:v>
      </x:c>
      <x:c r="G54" s="11" t="n">
        <x:v>1061</x:v>
      </x:c>
      <x:c r="H54" s="11" t="n">
        <x:v>100</x:v>
      </x:c>
      <x:c r="I54" s="11" t="n">
        <x:v>74</x:v>
      </x:c>
      <x:c r="J54" s="14" t="n">
        <x:f>IF(H54=0,0,I54/H54)</x:f>
        <x:v>0.74</x:v>
      </x:c>
      <x:c r="K54" s="11" t="str">
        <x:f>IF(J54&gt;=0.7,"ELIGIBLE","NOT ELIGIBLE")</x:f>
        <x:v>ELIGIBLE</x:v>
      </x:c>
      <x:c r="L54" s="11" t="str">
        <x:v>0300-1000053</x:v>
      </x:c>
      <x:c r="M54" s="11" t="str">
        <x:v>Nazimabad Block 5, Karachi</x:v>
      </x:c>
      <x:c r="N54" s="16" t="n">
        <x:v>1900</x:v>
      </x:c>
      <x:c r="O54" s="16" t="n">
        <x:v>1900</x:v>
      </x:c>
      <x:c r="P54" s="16" t="n">
        <x:f>N54-O54</x:f>
        <x:v>0</x:v>
      </x:c>
      <x:c r="Q54" s="11" t="str">
        <x:f>IF(P54&lt;=0,"PAID",IF(O54=0,"UNPAID","PARTIAL"))</x:f>
        <x:v>PAID</x:v>
      </x:c>
      <x:c r="R54" s="18" t="n">
        <x:v>46129</x:v>
      </x:c>
    </x:row>
    <x:row r="55">
      <x:c r="A55" s="11" t="n">
        <x:v>54</x:v>
      </x:c>
      <x:c r="B55" s="11" t="str">
        <x:v>ST054</x:v>
      </x:c>
      <x:c r="C55" s="11" t="str">
        <x:v>Zainab</x:v>
      </x:c>
      <x:c r="D55" s="11" t="str">
        <x:v>Muhammad Ismail</x:v>
      </x:c>
      <x:c r="E55" s="11" t="str">
        <x:v>Class 4</x:v>
      </x:c>
      <x:c r="F55" s="11" t="str">
        <x:v>C</x:v>
      </x:c>
      <x:c r="G55" s="11" t="n">
        <x:v>1098</x:v>
      </x:c>
      <x:c r="H55" s="11" t="n">
        <x:v>100</x:v>
      </x:c>
      <x:c r="I55" s="11" t="n">
        <x:v>83</x:v>
      </x:c>
      <x:c r="J55" s="14" t="n">
        <x:f>IF(H55=0,0,I55/H55)</x:f>
        <x:v>0.83</x:v>
      </x:c>
      <x:c r="K55" s="11" t="str">
        <x:f>IF(J55&gt;=0.7,"ELIGIBLE","NOT ELIGIBLE")</x:f>
        <x:v>ELIGIBLE</x:v>
      </x:c>
      <x:c r="L55" s="11" t="str">
        <x:v>0300-1000054</x:v>
      </x:c>
      <x:c r="M55" s="11" t="str">
        <x:v>Gulshan Block 2, Karachi</x:v>
      </x:c>
      <x:c r="N55" s="16" t="n">
        <x:v>2000</x:v>
      </x:c>
      <x:c r="O55" s="16" t="n">
        <x:v>2000</x:v>
      </x:c>
      <x:c r="P55" s="16" t="n">
        <x:f>N55-O55</x:f>
        <x:v>0</x:v>
      </x:c>
      <x:c r="Q55" s="11" t="str">
        <x:f>IF(P55&lt;=0,"PAID",IF(O55=0,"UNPAID","PARTIAL"))</x:f>
        <x:v>PAID</x:v>
      </x:c>
      <x:c r="R55" s="18" t="n">
        <x:v>46131</x:v>
      </x:c>
    </x:row>
    <x:row r="56">
      <x:c r="A56" s="11" t="n">
        <x:v>55</x:v>
      </x:c>
      <x:c r="B56" s="11" t="str">
        <x:v>ST055</x:v>
      </x:c>
      <x:c r="C56" s="11" t="str">
        <x:v>Zara</x:v>
      </x:c>
      <x:c r="D56" s="11" t="str">
        <x:v>Muhammad Shakeel</x:v>
      </x:c>
      <x:c r="E56" s="11" t="str">
        <x:v>Class 5</x:v>
      </x:c>
      <x:c r="F56" s="11" t="str">
        <x:v>D</x:v>
      </x:c>
      <x:c r="G56" s="11" t="n">
        <x:v>1035</x:v>
      </x:c>
      <x:c r="H56" s="11" t="n">
        <x:v>100</x:v>
      </x:c>
      <x:c r="I56" s="11" t="n">
        <x:v>57</x:v>
      </x:c>
      <x:c r="J56" s="14" t="n">
        <x:f>IF(H56=0,0,I56/H56)</x:f>
        <x:v>0.57</x:v>
      </x:c>
      <x:c r="K56" s="11" t="str">
        <x:f>IF(J56&gt;=0.7,"ELIGIBLE","NOT ELIGIBLE")</x:f>
        <x:v>NOT ELIGIBLE</x:v>
      </x:c>
      <x:c r="L56" s="11" t="str">
        <x:v>0300-1000055</x:v>
      </x:c>
      <x:c r="M56" s="11" t="str">
        <x:v>Orangi Town Sector 8, Karachi</x:v>
      </x:c>
      <x:c r="N56" s="16" t="n">
        <x:v>2100</x:v>
      </x:c>
      <x:c r="O56" s="16" t="n">
        <x:v>2100</x:v>
      </x:c>
      <x:c r="P56" s="16" t="n">
        <x:f>N56-O56</x:f>
        <x:v>0</x:v>
      </x:c>
      <x:c r="Q56" s="11" t="str">
        <x:f>IF(P56&lt;=0,"PAID",IF(O56=0,"UNPAID","PARTIAL"))</x:f>
        <x:v>PAID</x:v>
      </x:c>
      <x:c r="R56" s="18" t="n">
        <x:v>46133</x:v>
      </x:c>
    </x:row>
  </x:sheetData>
  <x:conditionalFormatting sqref="Q2:Q56">
    <x:cfRule type="expression" dxfId="0" priority="1">
      <x:formula>Q2="PAID"</x:formula>
    </x:cfRule>
    <x:cfRule type="expression" dxfId="1" priority="2">
      <x:formula>Q2="PARTIAL"</x:formula>
    </x:cfRule>
    <x:cfRule type="expression" dxfId="2" priority="3">
      <x:formula>Q2="UNPAID"</x:formula>
    </x:cfRule>
  </x:conditionalFormatting>
  <x:conditionalFormatting sqref="K2:K56">
    <x:cfRule type="expression" dxfId="3" priority="4">
      <x:formula>K2="ELIGIBLE"</x:formula>
    </x:cfRule>
    <x:cfRule type="expression" dxfId="4" priority="5">
      <x:formula>K2="NOT ELIGIBLE"</x:formula>
    </x:cfRule>
  </x:conditionalFormatting>
  <x:conditionalFormatting sqref="J2:J56">
    <x:cfRule type="dataBar" priority="6">
      <x:dataBar>
        <x:cfvo type="min"/>
        <x:cfvo type="max"/>
        <x:color rgb="10B981"/>
      </x:dataBar>
      <x:extLst>
        <x:ext xmlns:x14="http://schemas.microsoft.com/office/spreadsheetml/2009/9/main" uri="{B025F937-C7B1-47D3-B67F-A62EFF666E3E}">
          <x14:id>{60A50A6E-8E3B-5CDC-F72E-DCECCB677304}</x14:id>
        </x:ext>
      </x:extLst>
    </x:cfRule>
  </x:conditionalFormatting>
  <x:dataValidations count="2">
    <x:dataValidation type="list" sqref="E2:E56">
      <x:formula1>Lists!$F$2:$F$11</x:formula1>
    </x:dataValidation>
    <x:dataValidation type="list" sqref="F2:F56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1acf364a9d41c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60A50A6E-8E3B-5CDC-F72E-DCECCB677304}">
            <x14:dataBar gradient="1">
              <x14:cfvo type="min"/>
              <x14:cfvo type="max"/>
              <x14:fillColor rgb="10B981"/>
            </x14:dataBar>
          </x14:cfRule>
          <xm:sqref>J2:J56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4" hidden="0" customWidth="1"/>
    <x:col min="5" max="5" width="16" hidden="0" customWidth="1"/>
    <x:col min="6" max="6" width="14" hidden="0" customWidth="1"/>
    <x:col min="7" max="7" width="16" hidden="0" customWidth="1"/>
    <x:col min="8" max="8" width="12" hidden="0" customWidth="1"/>
    <x:col min="9" max="9" width="32" hidden="0" customWidth="1"/>
    <x:col min="10" max="10" width="16" hidden="0" customWidth="1"/>
  </x:cols>
  <x:sheetData>
    <x:row r="1" ht="28" customHeight="1">
      <x:c r="A1" s="23" t="str">
        <x:v>S.No</x:v>
      </x:c>
      <x:c r="B1" s="23" t="str">
        <x:v>Teacher Name</x:v>
      </x:c>
      <x:c r="C1" s="23" t="str">
        <x:v>Father Name</x:v>
      </x:c>
      <x:c r="D1" s="23" t="str">
        <x:v>Subject</x:v>
      </x:c>
      <x:c r="E1" s="23" t="str">
        <x:v>Qualification</x:v>
      </x:c>
      <x:c r="F1" s="23" t="str">
        <x:v>Joining Date</x:v>
      </x:c>
      <x:c r="G1" s="23" t="str">
        <x:v>Monthly Salary</x:v>
      </x:c>
      <x:c r="H1" s="23" t="str">
        <x:v>Status</x:v>
      </x:c>
      <x:c r="I1" s="23" t="str">
        <x:v>Address</x:v>
      </x:c>
      <x:c r="J1" s="23" t="str">
        <x:v>Contact</x:v>
      </x:c>
    </x:row>
    <x:row r="2">
      <x:c r="A2" s="11" t="n">
        <x:v>1</x:v>
      </x:c>
      <x:c r="B2" s="11" t="str">
        <x:v>Miss Aiman Sheikh</x:v>
      </x:c>
      <x:c r="C2" s="11" t="str">
        <x:v>Muhammad Jamil</x:v>
      </x:c>
      <x:c r="D2" s="11" t="str">
        <x:v>Punjabi</x:v>
      </x:c>
      <x:c r="E2" s="11" t="str">
        <x:v>MA</x:v>
      </x:c>
      <x:c r="F2" s="18" t="n">
        <x:v>44294</x:v>
      </x:c>
      <x:c r="G2" s="16" t="n">
        <x:v>46300</x:v>
      </x:c>
      <x:c r="H2" s="11" t="str">
        <x:v>Absent</x:v>
      </x:c>
      <x:c r="I2" s="11" t="str">
        <x:v>Orangi Town Sector 8, Karachi</x:v>
      </x:c>
      <x:c r="J2" s="11" t="str">
        <x:v>0338-5471919</x:v>
      </x:c>
    </x:row>
    <x:row r="3">
      <x:c r="A3" s="11" t="n">
        <x:v>2</x:v>
      </x:c>
      <x:c r="B3" s="11" t="str">
        <x:v>Miss Aleena Shah</x:v>
      </x:c>
      <x:c r="C3" s="11" t="str">
        <x:v>Bashir Ahmed</x:v>
      </x:c>
      <x:c r="D3" s="11" t="str">
        <x:v>Spoken English</x:v>
      </x:c>
      <x:c r="E3" s="11" t="str">
        <x:v>MA</x:v>
      </x:c>
      <x:c r="F3" s="18" t="n">
        <x:v>44757</x:v>
      </x:c>
      <x:c r="G3" s="16" t="n">
        <x:v>47600</x:v>
      </x:c>
      <x:c r="H3" s="11" t="str">
        <x:v>Leave</x:v>
      </x:c>
      <x:c r="I3" s="11" t="str">
        <x:v>Gulistan-e-Johar Block 7, Karachi</x:v>
      </x:c>
      <x:c r="J3" s="11" t="str">
        <x:v>0309-9631196</x:v>
      </x:c>
    </x:row>
    <x:row r="4">
      <x:c r="A4" s="11" t="n">
        <x:v>3</x:v>
      </x:c>
      <x:c r="B4" s="11" t="str">
        <x:v>Miss Alina Yousaf</x:v>
      </x:c>
      <x:c r="C4" s="11" t="str">
        <x:v>Muhammad Ismail</x:v>
      </x:c>
      <x:c r="D4" s="11" t="str">
        <x:v>Software Engineering</x:v>
      </x:c>
      <x:c r="E4" s="11" t="str">
        <x:v>BS</x:v>
      </x:c>
      <x:c r="F4" s="18" t="n">
        <x:v>45221</x:v>
      </x:c>
      <x:c r="G4" s="16" t="n">
        <x:v>48900</x:v>
      </x:c>
      <x:c r="H4" s="11" t="str">
        <x:v>Present</x:v>
      </x:c>
      <x:c r="I4" s="11" t="str">
        <x:v>Orangi Sector 15, Karachi</x:v>
      </x:c>
      <x:c r="J4" s="11" t="str">
        <x:v>0340-8779007</x:v>
      </x:c>
    </x:row>
    <x:row r="5">
      <x:c r="A5" s="11" t="n">
        <x:v>4</x:v>
      </x:c>
      <x:c r="B5" s="11" t="str">
        <x:v>Miss Anum Zahra</x:v>
      </x:c>
      <x:c r="C5" s="11" t="str">
        <x:v>Muhammad Shabbir</x:v>
      </x:c>
      <x:c r="D5" s="11" t="str">
        <x:v>Organic Chemistry</x:v>
      </x:c>
      <x:c r="E5" s="11" t="str">
        <x:v>BA</x:v>
      </x:c>
      <x:c r="F5" s="18" t="n">
        <x:v>45292</x:v>
      </x:c>
      <x:c r="G5" s="16" t="n">
        <x:v>50200</x:v>
      </x:c>
      <x:c r="H5" s="11" t="str">
        <x:v>Present</x:v>
      </x:c>
      <x:c r="I5" s="11" t="str">
        <x:v>Clifton Block 5, Karachi</x:v>
      </x:c>
      <x:c r="J5" s="11" t="str">
        <x:v>0339-2494877</x:v>
      </x:c>
    </x:row>
    <x:row r="6">
      <x:c r="A6" s="11" t="n">
        <x:v>5</x:v>
      </x:c>
      <x:c r="B6" s="11" t="str">
        <x:v>Miss Ayesha Iqbal</x:v>
      </x:c>
      <x:c r="C6" s="11" t="str">
        <x:v>Muhammad Rauf</x:v>
      </x:c>
      <x:c r="D6" s="11" t="str">
        <x:v>Mathematics</x:v>
      </x:c>
      <x:c r="E6" s="11" t="str">
        <x:v>MSc</x:v>
      </x:c>
      <x:c r="F6" s="18" t="n">
        <x:v>43929</x:v>
      </x:c>
      <x:c r="G6" s="16" t="n">
        <x:v>51500</x:v>
      </x:c>
      <x:c r="H6" s="11" t="str">
        <x:v>Present</x:v>
      </x:c>
      <x:c r="I6" s="11" t="str">
        <x:v>Nazimabad Block 3, Karachi</x:v>
      </x:c>
      <x:c r="J6" s="11" t="str">
        <x:v>0340-6749420</x:v>
      </x:c>
    </x:row>
    <x:row r="7">
      <x:c r="A7" s="11" t="n">
        <x:v>6</x:v>
      </x:c>
      <x:c r="B7" s="11" t="str">
        <x:v>Miss Dua Arif</x:v>
      </x:c>
      <x:c r="C7" s="11" t="str">
        <x:v>Muhammad Ramzan</x:v>
      </x:c>
      <x:c r="D7" s="11" t="str">
        <x:v>Geometry</x:v>
      </x:c>
      <x:c r="E7" s="11" t="str">
        <x:v>MEd</x:v>
      </x:c>
      <x:c r="F7" s="18" t="n">
        <x:v>44392</x:v>
      </x:c>
      <x:c r="G7" s="16" t="n">
        <x:v>52800</x:v>
      </x:c>
      <x:c r="H7" s="11" t="str">
        <x:v>Present</x:v>
      </x:c>
      <x:c r="I7" s="11" t="str">
        <x:v>Baldia Town, Karachi</x:v>
      </x:c>
      <x:c r="J7" s="11" t="str">
        <x:v>0330-8469767</x:v>
      </x:c>
    </x:row>
    <x:row r="8">
      <x:c r="A8" s="11" t="n">
        <x:v>7</x:v>
      </x:c>
      <x:c r="B8" s="11" t="str">
        <x:v>Miss Eman Raza</x:v>
      </x:c>
      <x:c r="C8" s="11" t="str">
        <x:v>Tariq Mehmood</x:v>
      </x:c>
      <x:c r="D8" s="11" t="str">
        <x:v>Literature</x:v>
      </x:c>
      <x:c r="E8" s="11" t="str">
        <x:v>MA</x:v>
      </x:c>
      <x:c r="F8" s="18" t="n">
        <x:v>44856</x:v>
      </x:c>
      <x:c r="G8" s="16" t="n">
        <x:v>54100</x:v>
      </x:c>
      <x:c r="H8" s="11" t="str">
        <x:v>Leave</x:v>
      </x:c>
      <x:c r="I8" s="11" t="str">
        <x:v>PECHS, Karachi</x:v>
      </x:c>
      <x:c r="J8" s="11" t="str">
        <x:v>0315-7010974</x:v>
      </x:c>
    </x:row>
    <x:row r="9">
      <x:c r="A9" s="11" t="n">
        <x:v>8</x:v>
      </x:c>
      <x:c r="B9" s="11" t="str">
        <x:v>Miss Fatima Saeed</x:v>
      </x:c>
      <x:c r="C9" s="11" t="str">
        <x:v>Muhammad Ayub</x:v>
      </x:c>
      <x:c r="D9" s="11" t="str">
        <x:v>Chemistry</x:v>
      </x:c>
      <x:c r="E9" s="11" t="str">
        <x:v>MSc</x:v>
      </x:c>
      <x:c r="F9" s="18" t="n">
        <x:v>44927</x:v>
      </x:c>
      <x:c r="G9" s="16" t="n">
        <x:v>55400</x:v>
      </x:c>
      <x:c r="H9" s="11" t="str">
        <x:v>Absent</x:v>
      </x:c>
      <x:c r="I9" s="11" t="str">
        <x:v>Surjani Town, Karachi</x:v>
      </x:c>
      <x:c r="J9" s="11" t="str">
        <x:v>0341-9793751</x:v>
      </x:c>
    </x:row>
    <x:row r="10">
      <x:c r="A10" s="11" t="n">
        <x:v>9</x:v>
      </x:c>
      <x:c r="B10" s="11" t="str">
        <x:v>Miss Hina Mehmood</x:v>
      </x:c>
      <x:c r="C10" s="11" t="str">
        <x:v>Muhammad Riaz</x:v>
      </x:c>
      <x:c r="D10" s="11" t="str">
        <x:v>Accounting</x:v>
      </x:c>
      <x:c r="E10" s="11" t="str">
        <x:v>MPhil</x:v>
      </x:c>
      <x:c r="F10" s="18" t="n">
        <x:v>45390</x:v>
      </x:c>
      <x:c r="G10" s="16" t="n">
        <x:v>56700</x:v>
      </x:c>
      <x:c r="H10" s="11" t="str">
        <x:v>Present</x:v>
      </x:c>
      <x:c r="I10" s="11" t="str">
        <x:v>Gulistan-e-Johar, Karachi</x:v>
      </x:c>
      <x:c r="J10" s="11" t="str">
        <x:v>0311-3941491</x:v>
      </x:c>
    </x:row>
    <x:row r="11">
      <x:c r="A11" s="11" t="n">
        <x:v>10</x:v>
      </x:c>
      <x:c r="B11" s="11" t="str">
        <x:v>Miss Hira Shah</x:v>
      </x:c>
      <x:c r="C11" s="11" t="str">
        <x:v>Muhammad Mushtaq</x:v>
      </x:c>
      <x:c r="D11" s="11" t="str">
        <x:v>Computer Science</x:v>
      </x:c>
      <x:c r="E11" s="11" t="str">
        <x:v>BS</x:v>
      </x:c>
      <x:c r="F11" s="18" t="n">
        <x:v>44027</x:v>
      </x:c>
      <x:c r="G11" s="16" t="n">
        <x:v>58000</x:v>
      </x:c>
      <x:c r="H11" s="11" t="str">
        <x:v>Present</x:v>
      </x:c>
      <x:c r="I11" s="11" t="str">
        <x:v>Gulshan Block 4, Karachi</x:v>
      </x:c>
      <x:c r="J11" s="11" t="str">
        <x:v>0326-4418565</x:v>
      </x:c>
    </x:row>
    <x:row r="12">
      <x:c r="A12" s="11" t="n">
        <x:v>11</x:v>
      </x:c>
      <x:c r="B12" s="11" t="str">
        <x:v>Miss Kinza Javed</x:v>
      </x:c>
      <x:c r="C12" s="11" t="str">
        <x:v>Muhammad Ishaq</x:v>
      </x:c>
      <x:c r="D12" s="11" t="str">
        <x:v>Statistics</x:v>
      </x:c>
      <x:c r="E12" s="11" t="str">
        <x:v>MCom</x:v>
      </x:c>
      <x:c r="F12" s="18" t="n">
        <x:v>44491</x:v>
      </x:c>
      <x:c r="G12" s="16" t="n">
        <x:v>59300</x:v>
      </x:c>
      <x:c r="H12" s="11" t="str">
        <x:v>Absent</x:v>
      </x:c>
      <x:c r="I12" s="11" t="str">
        <x:v>Korangi Crossing, Karachi</x:v>
      </x:c>
      <x:c r="J12" s="11" t="str">
        <x:v>0325-8631431</x:v>
      </x:c>
    </x:row>
    <x:row r="13">
      <x:c r="A13" s="11" t="n">
        <x:v>12</x:v>
      </x:c>
      <x:c r="B13" s="11" t="str">
        <x:v>Miss Komal Ali</x:v>
      </x:c>
      <x:c r="C13" s="11" t="str">
        <x:v>Muhammad Rauf</x:v>
      </x:c>
      <x:c r="D13" s="11" t="str">
        <x:v>Health &amp; Hygiene</x:v>
      </x:c>
      <x:c r="E13" s="11" t="str">
        <x:v>PhD</x:v>
      </x:c>
      <x:c r="F13" s="18" t="n">
        <x:v>44562</x:v>
      </x:c>
      <x:c r="G13" s="16" t="n">
        <x:v>60600</x:v>
      </x:c>
      <x:c r="H13" s="11" t="str">
        <x:v>Leave</x:v>
      </x:c>
      <x:c r="I13" s="11" t="str">
        <x:v>Surjani Town, Karachi</x:v>
      </x:c>
      <x:c r="J13" s="11" t="str">
        <x:v>0332-1465432</x:v>
      </x:c>
    </x:row>
    <x:row r="14">
      <x:c r="A14" s="11" t="n">
        <x:v>13</x:v>
      </x:c>
      <x:c r="B14" s="11" t="str">
        <x:v>Miss Laiba Rehman</x:v>
      </x:c>
      <x:c r="C14" s="11" t="str">
        <x:v>Muhammad Yaqoob</x:v>
      </x:c>
      <x:c r="D14" s="11" t="str">
        <x:v>Education</x:v>
      </x:c>
      <x:c r="E14" s="11" t="str">
        <x:v>BS</x:v>
      </x:c>
      <x:c r="F14" s="18" t="n">
        <x:v>45024</x:v>
      </x:c>
      <x:c r="G14" s="16" t="n">
        <x:v>61900</x:v>
      </x:c>
      <x:c r="H14" s="11" t="str">
        <x:v>Present</x:v>
      </x:c>
      <x:c r="I14" s="11" t="str">
        <x:v>Landhi Colony, Karachi</x:v>
      </x:c>
      <x:c r="J14" s="11" t="str">
        <x:v>0311-1171561</x:v>
      </x:c>
    </x:row>
    <x:row r="15">
      <x:c r="A15" s="11" t="n">
        <x:v>14</x:v>
      </x:c>
      <x:c r="B15" s="11" t="str">
        <x:v>Miss Mahnoor Saeed</x:v>
      </x:c>
      <x:c r="C15" s="11" t="str">
        <x:v>Muhammad Ramzan</x:v>
      </x:c>
      <x:c r="D15" s="11" t="str">
        <x:v>Information Technology</x:v>
      </x:c>
      <x:c r="E15" s="11" t="str">
        <x:v>MSc</x:v>
      </x:c>
      <x:c r="F15" s="18" t="n">
        <x:v>45488</x:v>
      </x:c>
      <x:c r="G15" s="16" t="n">
        <x:v>63200</x:v>
      </x:c>
      <x:c r="H15" s="11" t="str">
        <x:v>Present</x:v>
      </x:c>
      <x:c r="I15" s="11" t="str">
        <x:v>Gulistan-e-Johar Block 7, Karachi</x:v>
      </x:c>
      <x:c r="J15" s="11" t="str">
        <x:v>0304-7920666</x:v>
      </x:c>
    </x:row>
    <x:row r="16">
      <x:c r="A16" s="11" t="n">
        <x:v>15</x:v>
      </x:c>
      <x:c r="B16" s="11" t="str">
        <x:v>Miss Maryam Raza</x:v>
      </x:c>
      <x:c r="C16" s="11" t="str">
        <x:v>Muhammad Zafar</x:v>
      </x:c>
      <x:c r="D16" s="11" t="str">
        <x:v>General Science</x:v>
      </x:c>
      <x:c r="E16" s="11" t="str">
        <x:v>BSc</x:v>
      </x:c>
      <x:c r="F16" s="18" t="n">
        <x:v>44126</x:v>
      </x:c>
      <x:c r="G16" s="16" t="n">
        <x:v>64500</x:v>
      </x:c>
      <x:c r="H16" s="11" t="str">
        <x:v>Present</x:v>
      </x:c>
      <x:c r="I16" s="11" t="str">
        <x:v>New Karachi Sector 5, Karachi</x:v>
      </x:c>
      <x:c r="J16" s="11" t="str">
        <x:v>0321-1243482</x:v>
      </x:c>
    </x:row>
    <x:row r="17">
      <x:c r="A17" s="11" t="n">
        <x:v>16</x:v>
      </x:c>
      <x:c r="B17" s="11" t="str">
        <x:v>Miss Nimra Khan</x:v>
      </x:c>
      <x:c r="C17" s="11" t="str">
        <x:v>Muhammad Anwar</x:v>
      </x:c>
      <x:c r="D17" s="11" t="str">
        <x:v>Sociology</x:v>
      </x:c>
      <x:c r="E17" s="11" t="str">
        <x:v>MBA</x:v>
      </x:c>
      <x:c r="F17" s="18" t="n">
        <x:v>44197</x:v>
      </x:c>
      <x:c r="G17" s="16" t="n">
        <x:v>65800</x:v>
      </x:c>
      <x:c r="H17" s="11" t="str">
        <x:v>Present</x:v>
      </x:c>
      <x:c r="I17" s="11" t="str">
        <x:v>North Nazimabad, Karachi</x:v>
      </x:c>
      <x:c r="J17" s="11" t="str">
        <x:v>0301-2841653</x:v>
      </x:c>
    </x:row>
    <x:row r="18">
      <x:c r="A18" s="11" t="n">
        <x:v>17</x:v>
      </x:c>
      <x:c r="B18" s="11" t="str">
        <x:v>Miss Noor Bibi</x:v>
      </x:c>
      <x:c r="C18" s="11" t="str">
        <x:v>Liaqat Ali</x:v>
      </x:c>
      <x:c r="D18" s="11" t="str">
        <x:v>Moral Science</x:v>
      </x:c>
      <x:c r="E18" s="11" t="str">
        <x:v>MS</x:v>
      </x:c>
      <x:c r="F18" s="18" t="n">
        <x:v>44659</x:v>
      </x:c>
      <x:c r="G18" s="16" t="n">
        <x:v>67100</x:v>
      </x:c>
      <x:c r="H18" s="11" t="str">
        <x:v>Leave</x:v>
      </x:c>
      <x:c r="I18" s="11" t="str">
        <x:v>DHA Phase 4, Karachi</x:v>
      </x:c>
      <x:c r="J18" s="11" t="str">
        <x:v>0345-9180875</x:v>
      </x:c>
    </x:row>
    <x:row r="19">
      <x:c r="A19" s="11" t="n">
        <x:v>18</x:v>
      </x:c>
      <x:c r="B19" s="11" t="str">
        <x:v>Miss Rabia Mehmood</x:v>
      </x:c>
      <x:c r="C19" s="11" t="str">
        <x:v>Bashir Ahmed</x:v>
      </x:c>
      <x:c r="D19" s="11" t="str">
        <x:v>Islamic Studies</x:v>
      </x:c>
      <x:c r="E19" s="11" t="str">
        <x:v>MS</x:v>
      </x:c>
      <x:c r="F19" s="18" t="n">
        <x:v>45122</x:v>
      </x:c>
      <x:c r="G19" s="16" t="n">
        <x:v>68400</x:v>
      </x:c>
      <x:c r="H19" s="11" t="str">
        <x:v>Absent</x:v>
      </x:c>
      <x:c r="I19" s="11" t="str">
        <x:v>DHA Phase 8, Karachi</x:v>
      </x:c>
      <x:c r="J19" s="11" t="str">
        <x:v>0303-3609630</x:v>
      </x:c>
    </x:row>
    <x:row r="20">
      <x:c r="A20" s="11" t="n">
        <x:v>19</x:v>
      </x:c>
      <x:c r="B20" s="11" t="str">
        <x:v>Miss Rida Raza</x:v>
      </x:c>
      <x:c r="C20" s="11" t="str">
        <x:v>Muhammad Rauf</x:v>
      </x:c>
      <x:c r="D20" s="11" t="str">
        <x:v>Physics</x:v>
      </x:c>
      <x:c r="E20" s="11" t="str">
        <x:v>Diploma</x:v>
      </x:c>
      <x:c r="F20" s="18" t="n">
        <x:v>45587</x:v>
      </x:c>
      <x:c r="G20" s="16" t="n">
        <x:v>69700</x:v>
      </x:c>
      <x:c r="H20" s="11" t="str">
        <x:v>Present</x:v>
      </x:c>
      <x:c r="I20" s="11" t="str">
        <x:v>Gulshan Block 13, Karachi</x:v>
      </x:c>
      <x:c r="J20" s="11" t="str">
        <x:v>0325-2503311</x:v>
      </x:c>
    </x:row>
    <x:row r="21">
      <x:c r="A21" s="11" t="n">
        <x:v>20</x:v>
      </x:c>
      <x:c r="B21" s="11" t="str">
        <x:v>Miss Saba Malik</x:v>
      </x:c>
      <x:c r="C21" s="11" t="str">
        <x:v>Muhammad Hanif</x:v>
      </x:c>
      <x:c r="D21" s="11" t="str">
        <x:v>Web Development</x:v>
      </x:c>
      <x:c r="E21" s="11" t="str">
        <x:v>BS</x:v>
      </x:c>
      <x:c r="F21" s="18" t="n">
        <x:v>43831</x:v>
      </x:c>
      <x:c r="G21" s="16" t="n">
        <x:v>71000</x:v>
      </x:c>
      <x:c r="H21" s="11" t="str">
        <x:v>Present</x:v>
      </x:c>
      <x:c r="I21" s="11" t="str">
        <x:v>Scheme 33 Sector 15, Karachi</x:v>
      </x:c>
      <x:c r="J21" s="11" t="str">
        <x:v>0313-1983983</x:v>
      </x:c>
    </x:row>
    <x:row r="22">
      <x:c r="A22" s="11" t="n">
        <x:v>21</x:v>
      </x:c>
      <x:c r="B22" s="11" t="str">
        <x:v>Miss Sadaf Khan</x:v>
      </x:c>
      <x:c r="C22" s="11" t="str">
        <x:v>Muhammad Yaqoob</x:v>
      </x:c>
      <x:c r="D22" s="11" t="str">
        <x:v>Library Science</x:v>
      </x:c>
      <x:c r="E22" s="11" t="str">
        <x:v>PhD</x:v>
      </x:c>
      <x:c r="F22" s="18" t="n">
        <x:v>44294</x:v>
      </x:c>
      <x:c r="G22" s="16" t="n">
        <x:v>72300</x:v>
      </x:c>
      <x:c r="H22" s="11" t="str">
        <x:v>Absent</x:v>
      </x:c>
      <x:c r="I22" s="11" t="str">
        <x:v>Malir Model Colony, Karachi</x:v>
      </x:c>
      <x:c r="J22" s="11" t="str">
        <x:v>0338-4903818</x:v>
      </x:c>
    </x:row>
    <x:row r="23">
      <x:c r="A23" s="11" t="n">
        <x:v>22</x:v>
      </x:c>
      <x:c r="B23" s="11" t="str">
        <x:v>Miss Sana Iqbal</x:v>
      </x:c>
      <x:c r="C23" s="11" t="str">
        <x:v>Muhammad Zafar</x:v>
      </x:c>
      <x:c r="D23" s="11" t="str">
        <x:v>Geography</x:v>
      </x:c>
      <x:c r="E23" s="11" t="str">
        <x:v>MPhil</x:v>
      </x:c>
      <x:c r="F23" s="18" t="n">
        <x:v>44757</x:v>
      </x:c>
      <x:c r="G23" s="16" t="n">
        <x:v>73600</x:v>
      </x:c>
      <x:c r="H23" s="11" t="str">
        <x:v>Leave</x:v>
      </x:c>
      <x:c r="I23" s="11" t="str">
        <x:v>Buffer Zone, Karachi</x:v>
      </x:c>
      <x:c r="J23" s="11" t="str">
        <x:v>0323-8777161</x:v>
      </x:c>
    </x:row>
    <x:row r="24">
      <x:c r="A24" s="11" t="n">
        <x:v>23</x:v>
      </x:c>
      <x:c r="B24" s="11" t="str">
        <x:v>Miss Sara Khan</x:v>
      </x:c>
      <x:c r="C24" s="11" t="str">
        <x:v>Abdul Sattar</x:v>
      </x:c>
      <x:c r="D24" s="11" t="str">
        <x:v>Quran Studies</x:v>
      </x:c>
      <x:c r="E24" s="11" t="str">
        <x:v>BS</x:v>
      </x:c>
      <x:c r="F24" s="18" t="n">
        <x:v>45221</x:v>
      </x:c>
      <x:c r="G24" s="16" t="n">
        <x:v>74900</x:v>
      </x:c>
      <x:c r="H24" s="11" t="str">
        <x:v>Present</x:v>
      </x:c>
      <x:c r="I24" s="11" t="str">
        <x:v>Orangi Sector 15, Karachi</x:v>
      </x:c>
      <x:c r="J24" s="11" t="str">
        <x:v>0323-3583589</x:v>
      </x:c>
    </x:row>
    <x:row r="25">
      <x:c r="A25" s="11" t="n">
        <x:v>24</x:v>
      </x:c>
      <x:c r="B25" s="11" t="str">
        <x:v>Miss Yusra Noor</x:v>
      </x:c>
      <x:c r="C25" s="11" t="str">
        <x:v>Muhammad Zafar</x:v>
      </x:c>
      <x:c r="D25" s="11" t="str">
        <x:v>Biology</x:v>
      </x:c>
      <x:c r="E25" s="11" t="str">
        <x:v>BA</x:v>
      </x:c>
      <x:c r="F25" s="18" t="n">
        <x:v>45292</x:v>
      </x:c>
      <x:c r="G25" s="16" t="n">
        <x:v>76200</x:v>
      </x:c>
      <x:c r="H25" s="11" t="str">
        <x:v>Present</x:v>
      </x:c>
      <x:c r="I25" s="11" t="str">
        <x:v>Orangi Town Sector 8, Karachi</x:v>
      </x:c>
      <x:c r="J25" s="11" t="str">
        <x:v>0331-6334608</x:v>
      </x:c>
    </x:row>
    <x:row r="26">
      <x:c r="A26" s="11" t="n">
        <x:v>25</x:v>
      </x:c>
      <x:c r="B26" s="11" t="str">
        <x:v>Miss Zainab Khan</x:v>
      </x:c>
      <x:c r="C26" s="11" t="str">
        <x:v>Shahid Iqbal</x:v>
      </x:c>
      <x:c r="D26" s="11" t="str">
        <x:v>Islamiat</x:v>
      </x:c>
      <x:c r="E26" s="11" t="str">
        <x:v>MA</x:v>
      </x:c>
      <x:c r="F26" s="18" t="n">
        <x:v>43929</x:v>
      </x:c>
      <x:c r="G26" s="16" t="n">
        <x:v>77500</x:v>
      </x:c>
      <x:c r="H26" s="11" t="str">
        <x:v>Present</x:v>
      </x:c>
      <x:c r="I26" s="11" t="str">
        <x:v>Clifton Block 8, Karachi</x:v>
      </x:c>
      <x:c r="J26" s="11" t="str">
        <x:v>0315-4372523</x:v>
      </x:c>
    </x:row>
    <x:row r="27">
      <x:c r="A27" s="11" t="n">
        <x:v>26</x:v>
      </x:c>
      <x:c r="B27" s="11" t="str">
        <x:v>Sir Adeel Khan</x:v>
      </x:c>
      <x:c r="C27" s="11" t="str">
        <x:v>Muhammad Afzal</x:v>
      </x:c>
      <x:c r="D27" s="11" t="str">
        <x:v>Sindhi</x:v>
      </x:c>
      <x:c r="E27" s="11" t="str">
        <x:v>MA</x:v>
      </x:c>
      <x:c r="F27" s="18" t="n">
        <x:v>44392</x:v>
      </x:c>
      <x:c r="G27" s="16" t="n">
        <x:v>78800</x:v>
      </x:c>
      <x:c r="H27" s="11" t="str">
        <x:v>Present</x:v>
      </x:c>
      <x:c r="I27" s="11" t="str">
        <x:v>Saddar Area, Karachi</x:v>
      </x:c>
      <x:c r="J27" s="11" t="str">
        <x:v>0339-8209752</x:v>
      </x:c>
    </x:row>
    <x:row r="28">
      <x:c r="A28" s="11" t="n">
        <x:v>27</x:v>
      </x:c>
      <x:c r="B28" s="11" t="str">
        <x:v>Sir Ahmed Karim</x:v>
      </x:c>
      <x:c r="C28" s="11" t="str">
        <x:v>Muhammad Ayub</x:v>
      </x:c>
      <x:c r="D28" s="11" t="str">
        <x:v>English</x:v>
      </x:c>
      <x:c r="E28" s="11" t="str">
        <x:v>MA</x:v>
      </x:c>
      <x:c r="F28" s="18" t="n">
        <x:v>44856</x:v>
      </x:c>
      <x:c r="G28" s="16" t="n">
        <x:v>80100</x:v>
      </x:c>
      <x:c r="H28" s="11" t="str">
        <x:v>Leave</x:v>
      </x:c>
      <x:c r="I28" s="11" t="str">
        <x:v>SITE Area, Karachi</x:v>
      </x:c>
      <x:c r="J28" s="11" t="str">
        <x:v>0312-3527016</x:v>
      </x:c>
    </x:row>
    <x:row r="29">
      <x:c r="A29" s="11" t="n">
        <x:v>28</x:v>
      </x:c>
      <x:c r="B29" s="11" t="str">
        <x:v>Sir Ali Ahmed</x:v>
      </x:c>
      <x:c r="C29" s="11" t="str">
        <x:v>Muhammad Ismail</x:v>
      </x:c>
      <x:c r="D29" s="11" t="str">
        <x:v>Physics</x:v>
      </x:c>
      <x:c r="E29" s="11" t="str">
        <x:v>MSc</x:v>
      </x:c>
      <x:c r="F29" s="18" t="n">
        <x:v>44927</x:v>
      </x:c>
      <x:c r="G29" s="16" t="n">
        <x:v>81400</x:v>
      </x:c>
      <x:c r="H29" s="11" t="str">
        <x:v>Absent</x:v>
      </x:c>
      <x:c r="I29" s="11" t="str">
        <x:v>Korangi Crossing, Karachi</x:v>
      </x:c>
      <x:c r="J29" s="11" t="str">
        <x:v>0321-7295178</x:v>
      </x:c>
    </x:row>
    <x:row r="30">
      <x:c r="A30" s="11" t="n">
        <x:v>29</x:v>
      </x:c>
      <x:c r="B30" s="11" t="str">
        <x:v>Sir Arslan Haider</x:v>
      </x:c>
      <x:c r="C30" s="11" t="str">
        <x:v>Muhammad Idrees</x:v>
      </x:c>
      <x:c r="D30" s="11" t="str">
        <x:v>Electronics</x:v>
      </x:c>
      <x:c r="E30" s="11" t="str">
        <x:v>ADE</x:v>
      </x:c>
      <x:c r="F30" s="18" t="n">
        <x:v>45390</x:v>
      </x:c>
      <x:c r="G30" s="16" t="n">
        <x:v>82700</x:v>
      </x:c>
      <x:c r="H30" s="11" t="str">
        <x:v>Present</x:v>
      </x:c>
      <x:c r="I30" s="11" t="str">
        <x:v>DHA Phase 6, Karachi</x:v>
      </x:c>
      <x:c r="J30" s="11" t="str">
        <x:v>0333-2343670</x:v>
      </x:c>
    </x:row>
    <x:row r="31">
      <x:c r="A31" s="11" t="n">
        <x:v>30</x:v>
      </x:c>
      <x:c r="B31" s="11" t="str">
        <x:v>Sir Asif Khan</x:v>
      </x:c>
      <x:c r="C31" s="11" t="str">
        <x:v>Muhammad Ashraf</x:v>
      </x:c>
      <x:c r="D31" s="11" t="str">
        <x:v>Programming</x:v>
      </x:c>
      <x:c r="E31" s="11" t="str">
        <x:v>BS</x:v>
      </x:c>
      <x:c r="F31" s="18" t="n">
        <x:v>44027</x:v>
      </x:c>
      <x:c r="G31" s="16" t="n">
        <x:v>84000</x:v>
      </x:c>
      <x:c r="H31" s="11" t="str">
        <x:v>Present</x:v>
      </x:c>
      <x:c r="I31" s="11" t="str">
        <x:v>Saddar Area, Karachi</x:v>
      </x:c>
      <x:c r="J31" s="11" t="str">
        <x:v>0303-8299304</x:v>
      </x:c>
    </x:row>
    <x:row r="32">
      <x:c r="A32" s="11" t="n">
        <x:v>31</x:v>
      </x:c>
      <x:c r="B32" s="11" t="str">
        <x:v>Sir Bilal Wahid</x:v>
      </x:c>
      <x:c r="C32" s="11" t="str">
        <x:v>Muhammad Nadeem</x:v>
      </x:c>
      <x:c r="D32" s="11" t="str">
        <x:v>Pakistan Studies</x:v>
      </x:c>
      <x:c r="E32" s="11" t="str">
        <x:v>MA</x:v>
      </x:c>
      <x:c r="F32" s="18" t="n">
        <x:v>44491</x:v>
      </x:c>
      <x:c r="G32" s="16" t="n">
        <x:v>85300</x:v>
      </x:c>
      <x:c r="H32" s="11" t="str">
        <x:v>Absent</x:v>
      </x:c>
      <x:c r="I32" s="11" t="str">
        <x:v>Nazimabad Block 5, Karachi</x:v>
      </x:c>
      <x:c r="J32" s="11" t="str">
        <x:v>0333-2838923</x:v>
      </x:c>
    </x:row>
    <x:row r="33">
      <x:c r="A33" s="11" t="n">
        <x:v>32</x:v>
      </x:c>
      <x:c r="B33" s="11" t="str">
        <x:v>Sir Danish Ahmed</x:v>
      </x:c>
      <x:c r="C33" s="11" t="str">
        <x:v>Tariq Mehmood</x:v>
      </x:c>
      <x:c r="D33" s="11" t="str">
        <x:v>Environmental Science</x:v>
      </x:c>
      <x:c r="E33" s="11" t="str">
        <x:v>BCom</x:v>
      </x:c>
      <x:c r="F33" s="18" t="n">
        <x:v>44562</x:v>
      </x:c>
      <x:c r="G33" s="16" t="n">
        <x:v>86600</x:v>
      </x:c>
      <x:c r="H33" s="11" t="str">
        <x:v>Leave</x:v>
      </x:c>
      <x:c r="I33" s="11" t="str">
        <x:v>DHA Phase 6, Karachi</x:v>
      </x:c>
      <x:c r="J33" s="11" t="str">
        <x:v>0349-9703611</x:v>
      </x:c>
    </x:row>
    <x:row r="34">
      <x:c r="A34" s="11" t="n">
        <x:v>33</x:v>
      </x:c>
      <x:c r="B34" s="11" t="str">
        <x:v>Sir Fahad Ali</x:v>
      </x:c>
      <x:c r="C34" s="11" t="str">
        <x:v>Muhammad Riaz</x:v>
      </x:c>
      <x:c r="D34" s="11" t="str">
        <x:v>Civics</x:v>
      </x:c>
      <x:c r="E34" s="11" t="str">
        <x:v>BBA</x:v>
      </x:c>
      <x:c r="F34" s="18" t="n">
        <x:v>45024</x:v>
      </x:c>
      <x:c r="G34" s="16" t="n">
        <x:v>87900</x:v>
      </x:c>
      <x:c r="H34" s="11" t="str">
        <x:v>Present</x:v>
      </x:c>
      <x:c r="I34" s="11" t="str">
        <x:v>New Karachi Sector 11, Karachi</x:v>
      </x:c>
      <x:c r="J34" s="11" t="str">
        <x:v>0335-2192459</x:v>
      </x:c>
    </x:row>
    <x:row r="35">
      <x:c r="A35" s="11" t="n">
        <x:v>34</x:v>
      </x:c>
      <x:c r="B35" s="11" t="str">
        <x:v>Sir Farhan Khan</x:v>
      </x:c>
      <x:c r="C35" s="11" t="str">
        <x:v>Muhammad Anwar</x:v>
      </x:c>
      <x:c r="D35" s="11" t="str">
        <x:v>Physical Education</x:v>
      </x:c>
      <x:c r="E35" s="11" t="str">
        <x:v>PhD</x:v>
      </x:c>
      <x:c r="F35" s="18" t="n">
        <x:v>45488</x:v>
      </x:c>
      <x:c r="G35" s="16" t="n">
        <x:v>89200</x:v>
      </x:c>
      <x:c r="H35" s="11" t="str">
        <x:v>Present</x:v>
      </x:c>
      <x:c r="I35" s="11" t="str">
        <x:v>Orangi Town Sector 8, Karachi</x:v>
      </x:c>
      <x:c r="J35" s="11" t="str">
        <x:v>0344-8792958</x:v>
      </x:c>
    </x:row>
    <x:row r="36">
      <x:c r="A36" s="11" t="n">
        <x:v>35</x:v>
      </x:c>
      <x:c r="B36" s="11" t="str">
        <x:v>Sir Hamza Ahmed</x:v>
      </x:c>
      <x:c r="C36" s="11" t="str">
        <x:v>Asif Mehmood</x:v>
      </x:c>
      <x:c r="D36" s="11" t="str">
        <x:v>Economics</x:v>
      </x:c>
      <x:c r="E36" s="11" t="str">
        <x:v>MPhil</x:v>
      </x:c>
      <x:c r="F36" s="18" t="n">
        <x:v>44126</x:v>
      </x:c>
      <x:c r="G36" s="16" t="n">
        <x:v>90500</x:v>
      </x:c>
      <x:c r="H36" s="11" t="str">
        <x:v>Present</x:v>
      </x:c>
      <x:c r="I36" s="11" t="str">
        <x:v>Baldia Town, Karachi</x:v>
      </x:c>
      <x:c r="J36" s="11" t="str">
        <x:v>0339-3915676</x:v>
      </x:c>
    </x:row>
    <x:row r="37">
      <x:c r="A37" s="11" t="n">
        <x:v>36</x:v>
      </x:c>
      <x:c r="B37" s="11" t="str">
        <x:v>Sir Hassan Ali</x:v>
      </x:c>
      <x:c r="C37" s="11" t="str">
        <x:v>Muhammad Mushtaq</x:v>
      </x:c>
      <x:c r="D37" s="11" t="str">
        <x:v>Urdu</x:v>
      </x:c>
      <x:c r="E37" s="11" t="str">
        <x:v>MA</x:v>
      </x:c>
      <x:c r="F37" s="18" t="n">
        <x:v>44197</x:v>
      </x:c>
      <x:c r="G37" s="16" t="n">
        <x:v>91800</x:v>
      </x:c>
      <x:c r="H37" s="11" t="str">
        <x:v>Present</x:v>
      </x:c>
      <x:c r="I37" s="11" t="str">
        <x:v>Buffer Zone, Karachi</x:v>
      </x:c>
      <x:c r="J37" s="11" t="str">
        <x:v>0300-9305368</x:v>
      </x:c>
    </x:row>
    <x:row r="38">
      <x:c r="A38" s="11" t="n">
        <x:v>37</x:v>
      </x:c>
      <x:c r="B38" s="11" t="str">
        <x:v>Sir Imran Ahmed</x:v>
      </x:c>
      <x:c r="C38" s="11" t="str">
        <x:v>Muhammad Ilyas</x:v>
      </x:c>
      <x:c r="D38" s="11" t="str">
        <x:v>Business Studies</x:v>
      </x:c>
      <x:c r="E38" s="11" t="str">
        <x:v>MPhil</x:v>
      </x:c>
      <x:c r="F38" s="18" t="n">
        <x:v>44659</x:v>
      </x:c>
      <x:c r="G38" s="16" t="n">
        <x:v>93100</x:v>
      </x:c>
      <x:c r="H38" s="11" t="str">
        <x:v>Leave</x:v>
      </x:c>
      <x:c r="I38" s="11" t="str">
        <x:v>Gulistan-e-Johar, Karachi</x:v>
      </x:c>
      <x:c r="J38" s="11" t="str">
        <x:v>0331-2533707</x:v>
      </x:c>
    </x:row>
    <x:row r="39">
      <x:c r="A39" s="11" t="n">
        <x:v>38</x:v>
      </x:c>
      <x:c r="B39" s="11" t="str">
        <x:v>Sir Kashif Hussain</x:v>
      </x:c>
      <x:c r="C39" s="11" t="str">
        <x:v>Muhammad Yaqoob</x:v>
      </x:c>
      <x:c r="D39" s="11" t="str">
        <x:v>Database Systems</x:v>
      </x:c>
      <x:c r="E39" s="11" t="str">
        <x:v>BS</x:v>
      </x:c>
      <x:c r="F39" s="18" t="n">
        <x:v>45122</x:v>
      </x:c>
      <x:c r="G39" s="16" t="n">
        <x:v>94400</x:v>
      </x:c>
      <x:c r="H39" s="11" t="str">
        <x:v>Absent</x:v>
      </x:c>
      <x:c r="I39" s="11" t="str">
        <x:v>Surjani Town, Karachi</x:v>
      </x:c>
      <x:c r="J39" s="11" t="str">
        <x:v>0323-2171036</x:v>
      </x:c>
    </x:row>
    <x:row r="40">
      <x:c r="A40" s="11" t="n">
        <x:v>39</x:v>
      </x:c>
      <x:c r="B40" s="11" t="str">
        <x:v>Sir Naveed Ahmed</x:v>
      </x:c>
      <x:c r="C40" s="11" t="str">
        <x:v>Muhammad Siddique</x:v>
      </x:c>
      <x:c r="D40" s="11" t="str">
        <x:v>Algebra</x:v>
      </x:c>
      <x:c r="E40" s="11" t="str">
        <x:v>BEd</x:v>
      </x:c>
      <x:c r="F40" s="18" t="n">
        <x:v>45587</x:v>
      </x:c>
      <x:c r="G40" s="16" t="n">
        <x:v>95700</x:v>
      </x:c>
      <x:c r="H40" s="11" t="str">
        <x:v>Present</x:v>
      </x:c>
      <x:c r="I40" s="11" t="str">
        <x:v>Landhi Sector 6, Karachi</x:v>
      </x:c>
      <x:c r="J40" s="11" t="str">
        <x:v>0318-1488194</x:v>
      </x:c>
    </x:row>
    <x:row r="41">
      <x:c r="A41" s="11" t="n">
        <x:v>40</x:v>
      </x:c>
      <x:c r="B41" s="11" t="str">
        <x:v>Sir Orhaan Ahmed</x:v>
      </x:c>
      <x:c r="C41" s="11" t="str">
        <x:v>Muhammad Hanif</x:v>
      </x:c>
      <x:c r="D41" s="11" t="str">
        <x:v>Robotics</x:v>
      </x:c>
      <x:c r="E41" s="11" t="str">
        <x:v>PhD</x:v>
      </x:c>
      <x:c r="F41" s="18" t="n">
        <x:v>43831</x:v>
      </x:c>
      <x:c r="G41" s="16" t="n">
        <x:v>97000</x:v>
      </x:c>
      <x:c r="H41" s="11" t="str">
        <x:v>Present</x:v>
      </x:c>
      <x:c r="I41" s="11" t="str">
        <x:v>Korangi Sector 33, Karachi</x:v>
      </x:c>
      <x:c r="J41" s="11" t="str">
        <x:v>0331-5640481</x:v>
      </x:c>
    </x:row>
    <x:row r="42">
      <x:c r="A42" s="11" t="n">
        <x:v>41</x:v>
      </x:c>
      <x:c r="B42" s="11" t="str">
        <x:v>Sir Rehan Nawaz</x:v>
      </x:c>
      <x:c r="C42" s="11" t="str">
        <x:v>Muhammad Saleem</x:v>
      </x:c>
      <x:c r="D42" s="11" t="str">
        <x:v>Arabic</x:v>
      </x:c>
      <x:c r="E42" s="11" t="str">
        <x:v>MA</x:v>
      </x:c>
      <x:c r="F42" s="18" t="n">
        <x:v>44294</x:v>
      </x:c>
      <x:c r="G42" s="16" t="n">
        <x:v>98300</x:v>
      </x:c>
      <x:c r="H42" s="11" t="str">
        <x:v>Absent</x:v>
      </x:c>
      <x:c r="I42" s="11" t="str">
        <x:v>Gulshan Block 7, Karachi</x:v>
      </x:c>
      <x:c r="J42" s="11" t="str">
        <x:v>0330-5398341</x:v>
      </x:c>
    </x:row>
    <x:row r="43">
      <x:c r="A43" s="11" t="n">
        <x:v>42</x:v>
      </x:c>
      <x:c r="B43" s="11" t="str">
        <x:v>Sir Rizwan Shah</x:v>
      </x:c>
      <x:c r="C43" s="11" t="str">
        <x:v>Muhammad Ameen</x:v>
      </x:c>
      <x:c r="D43" s="11" t="str">
        <x:v>Hadith Studies</x:v>
      </x:c>
      <x:c r="E43" s="11" t="str">
        <x:v>BS</x:v>
      </x:c>
      <x:c r="F43" s="18" t="n">
        <x:v>44757</x:v>
      </x:c>
      <x:c r="G43" s="16" t="n">
        <x:v>99600</x:v>
      </x:c>
      <x:c r="H43" s="11" t="str">
        <x:v>Leave</x:v>
      </x:c>
      <x:c r="I43" s="11" t="str">
        <x:v>New Karachi Sector 5, Karachi</x:v>
      </x:c>
      <x:c r="J43" s="11" t="str">
        <x:v>0305-5095726</x:v>
      </x:c>
    </x:row>
    <x:row r="44">
      <x:c r="A44" s="11" t="n">
        <x:v>43</x:v>
      </x:c>
      <x:c r="B44" s="11" t="str">
        <x:v>Sir Saad Hussain</x:v>
      </x:c>
      <x:c r="C44" s="11" t="str">
        <x:v>Muhammad Nazir</x:v>
      </x:c>
      <x:c r="D44" s="11" t="str">
        <x:v>Inorganic Chemistry</x:v>
      </x:c>
      <x:c r="E44" s="11" t="str">
        <x:v>BA</x:v>
      </x:c>
      <x:c r="F44" s="18" t="n">
        <x:v>45221</x:v>
      </x:c>
      <x:c r="G44" s="16" t="n">
        <x:v>100900</x:v>
      </x:c>
      <x:c r="H44" s="11" t="str">
        <x:v>Present</x:v>
      </x:c>
      <x:c r="I44" s="11" t="str">
        <x:v>Gulshan Block 4, Karachi</x:v>
      </x:c>
      <x:c r="J44" s="11" t="str">
        <x:v>0312-3890264</x:v>
      </x:c>
    </x:row>
    <x:row r="45">
      <x:c r="A45" s="11" t="n">
        <x:v>44</x:v>
      </x:c>
      <x:c r="B45" s="11" t="str">
        <x:v>Sir Salman Ahmed</x:v>
      </x:c>
      <x:c r="C45" s="11" t="str">
        <x:v>Muhammad Ishaq</x:v>
      </x:c>
      <x:c r="D45" s="11" t="str">
        <x:v>History</x:v>
      </x:c>
      <x:c r="E45" s="11" t="str">
        <x:v>BA</x:v>
      </x:c>
      <x:c r="F45" s="18" t="n">
        <x:v>45292</x:v>
      </x:c>
      <x:c r="G45" s="16" t="n">
        <x:v>102200</x:v>
      </x:c>
      <x:c r="H45" s="11" t="str">
        <x:v>Present</x:v>
      </x:c>
      <x:c r="I45" s="11" t="str">
        <x:v>Clifton Block 8, Karachi</x:v>
      </x:c>
      <x:c r="J45" s="11" t="str">
        <x:v>0307-2987224</x:v>
      </x:c>
    </x:row>
    <x:row r="46">
      <x:c r="A46" s="11" t="n">
        <x:v>45</x:v>
      </x:c>
      <x:c r="B46" s="11" t="str">
        <x:v>Sir Shahid Khan</x:v>
      </x:c>
      <x:c r="C46" s="11" t="str">
        <x:v>Muhammad Ilyas</x:v>
      </x:c>
      <x:c r="D46" s="11" t="str">
        <x:v>Calculus</x:v>
      </x:c>
      <x:c r="E46" s="11" t="str">
        <x:v>Diploma</x:v>
      </x:c>
      <x:c r="F46" s="18" t="n">
        <x:v>43929</x:v>
      </x:c>
      <x:c r="G46" s="16" t="n">
        <x:v>103500</x:v>
      </x:c>
      <x:c r="H46" s="11" t="str">
        <x:v>Present</x:v>
      </x:c>
      <x:c r="I46" s="11" t="str">
        <x:v>Orangi Sector 15, Karachi</x:v>
      </x:c>
      <x:c r="J46" s="11" t="str">
        <x:v>0334-3799577</x:v>
      </x:c>
    </x:row>
    <x:row r="47">
      <x:c r="A47" s="11" t="n">
        <x:v>46</x:v>
      </x:c>
      <x:c r="B47" s="11" t="str">
        <x:v>Sir Talha Raza</x:v>
      </x:c>
      <x:c r="C47" s="11" t="str">
        <x:v>Liaqat Ali</x:v>
      </x:c>
      <x:c r="D47" s="11" t="str">
        <x:v>Zoology</x:v>
      </x:c>
      <x:c r="E47" s="11" t="str">
        <x:v>BA</x:v>
      </x:c>
      <x:c r="F47" s="18" t="n">
        <x:v>44392</x:v>
      </x:c>
      <x:c r="G47" s="16" t="n">
        <x:v>104800</x:v>
      </x:c>
      <x:c r="H47" s="11" t="str">
        <x:v>Present</x:v>
      </x:c>
      <x:c r="I47" s="11" t="str">
        <x:v>DHA Phase 4, Karachi</x:v>
      </x:c>
      <x:c r="J47" s="11" t="str">
        <x:v>0349-1921165</x:v>
      </x:c>
    </x:row>
    <x:row r="48">
      <x:c r="A48" s="11" t="n">
        <x:v>47</x:v>
      </x:c>
      <x:c r="B48" s="11" t="str">
        <x:v>Sir Usman Rasool</x:v>
      </x:c>
      <x:c r="C48" s="11" t="str">
        <x:v>Muhammad Yaqoob</x:v>
      </x:c>
      <x:c r="D48" s="11" t="str">
        <x:v>Biology</x:v>
      </x:c>
      <x:c r="E48" s="11" t="str">
        <x:v>MSc</x:v>
      </x:c>
      <x:c r="F48" s="18" t="n">
        <x:v>44856</x:v>
      </x:c>
      <x:c r="G48" s="16" t="n">
        <x:v>106100</x:v>
      </x:c>
      <x:c r="H48" s="11" t="str">
        <x:v>Leave</x:v>
      </x:c>
      <x:c r="I48" s="11" t="str">
        <x:v>Landhi, Karachi</x:v>
      </x:c>
      <x:c r="J48" s="11" t="str">
        <x:v>0322-4326186</x:v>
      </x:c>
    </x:row>
    <x:row r="49">
      <x:c r="A49" s="11" t="n">
        <x:v>48</x:v>
      </x:c>
      <x:c r="B49" s="11" t="str">
        <x:v>Sir Waqas Ahmed</x:v>
      </x:c>
      <x:c r="C49" s="11" t="str">
        <x:v>Abdul Hameed</x:v>
      </x:c>
      <x:c r="D49" s="11" t="str">
        <x:v>Grammar</x:v>
      </x:c>
      <x:c r="E49" s="11" t="str">
        <x:v>MA</x:v>
      </x:c>
      <x:c r="F49" s="18" t="n">
        <x:v>44927</x:v>
      </x:c>
      <x:c r="G49" s="16" t="n">
        <x:v>107400</x:v>
      </x:c>
      <x:c r="H49" s="11" t="str">
        <x:v>Absent</x:v>
      </x:c>
      <x:c r="I49" s="11" t="str">
        <x:v>Gulshan-e-Maymar, Karachi</x:v>
      </x:c>
      <x:c r="J49" s="11" t="str">
        <x:v>0307-4020729</x:v>
      </x:c>
    </x:row>
    <x:row r="50">
      <x:c r="A50" s="11" t="n">
        <x:v>49</x:v>
      </x:c>
      <x:c r="B50" s="11" t="str">
        <x:v>Sir Yasir Khan</x:v>
      </x:c>
      <x:c r="C50" s="11" t="str">
        <x:v>Abdul Sattar</x:v>
      </x:c>
      <x:c r="D50" s="11" t="str">
        <x:v>Creative Writing</x:v>
      </x:c>
      <x:c r="E50" s="11" t="str">
        <x:v>BS</x:v>
      </x:c>
      <x:c r="F50" s="18" t="n">
        <x:v>45390</x:v>
      </x:c>
      <x:c r="G50" s="16" t="n">
        <x:v>108700</x:v>
      </x:c>
      <x:c r="H50" s="11" t="str">
        <x:v>Present</x:v>
      </x:c>
      <x:c r="I50" s="11" t="str">
        <x:v>Gulistan-e-Johar Block 7, Karachi</x:v>
      </x:c>
      <x:c r="J50" s="11" t="str">
        <x:v>0317-6635712</x:v>
      </x:c>
    </x:row>
    <x:row r="51">
      <x:c r="A51" s="11" t="n">
        <x:v>50</x:v>
      </x:c>
      <x:c r="B51" s="11" t="str">
        <x:v>Sir Zain Shah</x:v>
      </x:c>
      <x:c r="C51" s="11" t="str">
        <x:v>Muhammad Bashir</x:v>
      </x:c>
      <x:c r="D51" s="11" t="str">
        <x:v>Art &amp; Drawing</x:v>
      </x:c>
      <x:c r="E51" s="11" t="str">
        <x:v>BS</x:v>
      </x:c>
      <x:c r="F51" s="18" t="n">
        <x:v>44027</x:v>
      </x:c>
      <x:c r="G51" s="16" t="n">
        <x:v>110000</x:v>
      </x:c>
      <x:c r="H51" s="11" t="str">
        <x:v>Present</x:v>
      </x:c>
      <x:c r="I51" s="11" t="str">
        <x:v>Clifton Block 8, Karachi</x:v>
      </x:c>
      <x:c r="J51" s="11" t="str">
        <x:v>0315-7388967</x:v>
      </x:c>
    </x:row>
  </x:sheetData>
  <x:conditionalFormatting sqref="H2:H51">
    <x:cfRule type="expression" dxfId="5" priority="1">
      <x:formula>H2="Present"</x:formula>
    </x:cfRule>
    <x:cfRule type="expression" dxfId="6" priority="2">
      <x:formula>H2="Absent"</x:formula>
    </x:cfRule>
    <x:cfRule type="expression" dxfId="7" priority="3">
      <x:formula>H2="Leave"</x:formula>
    </x:cfRule>
  </x:conditionalFormatting>
  <x:dataValidations count="1">
    <x:dataValidation type="list" sqref="H2:H51">
      <x:formula1>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798fb0436a42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3" hidden="0" customWidth="1"/>
    <x:col min="4" max="4" width="20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20" hidden="0" customWidth="1"/>
  </x:cols>
  <x:sheetData>
    <x:row r="1" ht="28" customHeight="1">
      <x:c r="A1" s="31" t="str">
        <x:v>S.No</x:v>
      </x:c>
      <x:c r="B1" s="31" t="str">
        <x:v>Date</x:v>
      </x:c>
      <x:c r="C1" s="31" t="str">
        <x:v>Student ID</x:v>
      </x:c>
      <x:c r="D1" s="31" t="str">
        <x:v>Student Name</x:v>
      </x:c>
      <x:c r="E1" s="31" t="str">
        <x:v>Father Name</x:v>
      </x:c>
      <x:c r="F1" s="31" t="str">
        <x:v>Attendance</x:v>
      </x:c>
      <x:c r="G1" s="31" t="str">
        <x:v>Leave Status</x:v>
      </x:c>
      <x:c r="H1" s="31" t="str">
        <x:v>Late Status</x:v>
      </x:c>
      <x:c r="I1" s="31" t="str">
        <x:v>Contact</x:v>
      </x:c>
      <x:c r="J1" s="31" t="str">
        <x:v>Remarks</x:v>
      </x:c>
    </x:row>
    <x:row r="2">
      <x:c r="A2" s="11" t="n">
        <x:v>1</x:v>
      </x:c>
      <x:c r="B2" s="18" t="n">
        <x:v>46143</x:v>
      </x:c>
      <x:c r="C2" s="11" t="str">
        <x:v>ST001</x:v>
      </x:c>
      <x:c r="D2" s="11" t="str">
        <x:v>Abdullah</x:v>
      </x:c>
      <x:c r="E2" s="11" t="str">
        <x:v>Muhammad Aslam</x:v>
      </x:c>
      <x:c r="F2" s="11" t="str">
        <x:v>Absent</x:v>
      </x:c>
      <x:c r="G2" s="11" t="str">
        <x:v>Leave</x:v>
      </x:c>
      <x:c r="H2" s="11" t="str">
        <x:v>Absent</x:v>
      </x:c>
      <x:c r="I2" s="11" t="str">
        <x:v>0300-1000001</x:v>
      </x:c>
      <x:c r="J2" s="11" t="str">
        <x:v>Needs follow-up</x:v>
      </x:c>
    </x:row>
    <x:row r="3">
      <x:c r="A3" s="11" t="n">
        <x:v>2</x:v>
      </x:c>
      <x:c r="B3" s="18" t="n">
        <x:v>46143</x:v>
      </x:c>
      <x:c r="C3" s="11" t="str">
        <x:v>ST002</x:v>
      </x:c>
      <x:c r="D3" s="11" t="str">
        <x:v>Adnan</x:v>
      </x:c>
      <x:c r="E3" s="11" t="str">
        <x:v>Muhammad Iqbal</x:v>
      </x:c>
      <x:c r="F3" s="11" t="str">
        <x:v>Present</x:v>
      </x:c>
      <x:c r="G3" s="11" t="str">
        <x:v>Present</x:v>
      </x:c>
      <x:c r="H3" s="11" t="str">
        <x:v>Late</x:v>
      </x:c>
      <x:c r="I3" s="11" t="str">
        <x:v>0300-1000002</x:v>
      </x:c>
      <x:c r="J3" s="11" t="str">
        <x:v>Late arrival</x:v>
      </x:c>
    </x:row>
    <x:row r="4">
      <x:c r="A4" s="11" t="n">
        <x:v>3</x:v>
      </x:c>
      <x:c r="B4" s="18" t="n">
        <x:v>46143</x:v>
      </x:c>
      <x:c r="C4" s="11" t="str">
        <x:v>ST003</x:v>
      </x:c>
      <x:c r="D4" s="11" t="str">
        <x:v>Ahmed</x:v>
      </x:c>
      <x:c r="E4" s="11" t="str">
        <x:v>Abdul Rehman</x:v>
      </x:c>
      <x:c r="F4" s="11" t="str">
        <x:v>Absent</x:v>
      </x:c>
      <x:c r="G4" s="11" t="str">
        <x:v>Leave</x:v>
      </x:c>
      <x:c r="H4" s="11" t="str">
        <x:v>Absent</x:v>
      </x:c>
      <x:c r="I4" s="11" t="str">
        <x:v>0300-1000003</x:v>
      </x:c>
      <x:c r="J4" s="11" t="str">
        <x:v>Needs follow-up</x:v>
      </x:c>
    </x:row>
    <x:row r="5">
      <x:c r="A5" s="11" t="n">
        <x:v>4</x:v>
      </x:c>
      <x:c r="B5" s="18" t="n">
        <x:v>46143</x:v>
      </x:c>
      <x:c r="C5" s="11" t="str">
        <x:v>ST004</x:v>
      </x:c>
      <x:c r="D5" s="11" t="str">
        <x:v>Aleena</x:v>
      </x:c>
      <x:c r="E5" s="11" t="str">
        <x:v>Muhammad Yousaf</x:v>
      </x:c>
      <x:c r="F5" s="11" t="str">
        <x:v>Present</x:v>
      </x:c>
      <x:c r="G5" s="11" t="str">
        <x:v>Present</x:v>
      </x:c>
      <x:c r="H5" s="11" t="str">
        <x:v>On Time</x:v>
      </x:c>
      <x:c r="I5" s="11" t="str">
        <x:v>0300-1000004</x:v>
      </x:c>
      <x:c r="J5" s="11" t="str">
        <x:v>Good</x:v>
      </x:c>
    </x:row>
    <x:row r="6">
      <x:c r="A6" s="11" t="n">
        <x:v>5</x:v>
      </x:c>
      <x:c r="B6" s="18" t="n">
        <x:v>46143</x:v>
      </x:c>
      <x:c r="C6" s="11" t="str">
        <x:v>ST005</x:v>
      </x:c>
      <x:c r="D6" s="11" t="str">
        <x:v>Ali</x:v>
      </x:c>
      <x:c r="E6" s="11" t="str">
        <x:v>Khalid Mehmood</x:v>
      </x:c>
      <x:c r="F6" s="11" t="str">
        <x:v>Absent</x:v>
      </x:c>
      <x:c r="G6" s="11" t="str">
        <x:v>Leave</x:v>
      </x:c>
      <x:c r="H6" s="11" t="str">
        <x:v>Absent</x:v>
      </x:c>
      <x:c r="I6" s="11" t="str">
        <x:v>0300-1000005</x:v>
      </x:c>
      <x:c r="J6" s="11" t="str">
        <x:v>Needs follow-up</x:v>
      </x:c>
    </x:row>
    <x:row r="7">
      <x:c r="A7" s="11" t="n">
        <x:v>6</x:v>
      </x:c>
      <x:c r="B7" s="18" t="n">
        <x:v>46143</x:v>
      </x:c>
      <x:c r="C7" s="11" t="str">
        <x:v>ST006</x:v>
      </x:c>
      <x:c r="D7" s="11" t="str">
        <x:v>Alina</x:v>
      </x:c>
      <x:c r="E7" s="11" t="str">
        <x:v>Muhammad Arshad</x:v>
      </x:c>
      <x:c r="F7" s="11" t="str">
        <x:v>Present</x:v>
      </x:c>
      <x:c r="G7" s="11" t="str">
        <x:v>Present</x:v>
      </x:c>
      <x:c r="H7" s="11" t="str">
        <x:v>On Time</x:v>
      </x:c>
      <x:c r="I7" s="11" t="str">
        <x:v>0300-1000006</x:v>
      </x:c>
      <x:c r="J7" s="11" t="str">
        <x:v>Good</x:v>
      </x:c>
    </x:row>
    <x:row r="8">
      <x:c r="A8" s="11" t="n">
        <x:v>7</x:v>
      </x:c>
      <x:c r="B8" s="18" t="n">
        <x:v>46143</x:v>
      </x:c>
      <x:c r="C8" s="11" t="str">
        <x:v>ST007</x:v>
      </x:c>
      <x:c r="D8" s="11" t="str">
        <x:v>Amna</x:v>
      </x:c>
      <x:c r="E8" s="11" t="str">
        <x:v>Rashid Ahmed</x:v>
      </x:c>
      <x:c r="F8" s="11" t="str">
        <x:v>Absent</x:v>
      </x:c>
      <x:c r="G8" s="11" t="str">
        <x:v>Leave</x:v>
      </x:c>
      <x:c r="H8" s="11" t="str">
        <x:v>Absent</x:v>
      </x:c>
      <x:c r="I8" s="11" t="str">
        <x:v>0300-1000007</x:v>
      </x:c>
      <x:c r="J8" s="11" t="str">
        <x:v>Needs follow-up</x:v>
      </x:c>
    </x:row>
    <x:row r="9">
      <x:c r="A9" s="11" t="n">
        <x:v>8</x:v>
      </x:c>
      <x:c r="B9" s="18" t="n">
        <x:v>46143</x:v>
      </x:c>
      <x:c r="C9" s="11" t="str">
        <x:v>ST008</x:v>
      </x:c>
      <x:c r="D9" s="11" t="str">
        <x:v>Anaya</x:v>
      </x:c>
      <x:c r="E9" s="11" t="str">
        <x:v>Muhammad Akram</x:v>
      </x:c>
      <x:c r="F9" s="11" t="str">
        <x:v>Present</x:v>
      </x:c>
      <x:c r="G9" s="11" t="str">
        <x:v>Present</x:v>
      </x:c>
      <x:c r="H9" s="11" t="str">
        <x:v>On Time</x:v>
      </x:c>
      <x:c r="I9" s="11" t="str">
        <x:v>0300-1000008</x:v>
      </x:c>
      <x:c r="J9" s="11" t="str">
        <x:v>Good</x:v>
      </x:c>
    </x:row>
    <x:row r="10">
      <x:c r="A10" s="11" t="n">
        <x:v>9</x:v>
      </x:c>
      <x:c r="B10" s="18" t="n">
        <x:v>46143</x:v>
      </x:c>
      <x:c r="C10" s="11" t="str">
        <x:v>ST009</x:v>
      </x:c>
      <x:c r="D10" s="11" t="str">
        <x:v>Areeba</x:v>
      </x:c>
      <x:c r="E10" s="11" t="str">
        <x:v>Javed Iqbal</x:v>
      </x:c>
      <x:c r="F10" s="11" t="str">
        <x:v>Present</x:v>
      </x:c>
      <x:c r="G10" s="11" t="str">
        <x:v>Present</x:v>
      </x:c>
      <x:c r="H10" s="11" t="str">
        <x:v>On Time</x:v>
      </x:c>
      <x:c r="I10" s="11" t="str">
        <x:v>0300-1000009</x:v>
      </x:c>
      <x:c r="J10" s="11" t="str">
        <x:v>Good</x:v>
      </x:c>
    </x:row>
    <x:row r="11">
      <x:c r="A11" s="11" t="n">
        <x:v>10</x:v>
      </x:c>
      <x:c r="B11" s="18" t="n">
        <x:v>46143</x:v>
      </x:c>
      <x:c r="C11" s="11" t="str">
        <x:v>ST010</x:v>
      </x:c>
      <x:c r="D11" s="11" t="str">
        <x:v>Arslan</x:v>
      </x:c>
      <x:c r="E11" s="11" t="str">
        <x:v>Muhammad Naveed</x:v>
      </x:c>
      <x:c r="F11" s="11" t="str">
        <x:v>Present</x:v>
      </x:c>
      <x:c r="G11" s="11" t="str">
        <x:v>Present</x:v>
      </x:c>
      <x:c r="H11" s="11" t="str">
        <x:v>Late</x:v>
      </x:c>
      <x:c r="I11" s="11" t="str">
        <x:v>0300-1000010</x:v>
      </x:c>
      <x:c r="J11" s="11" t="str">
        <x:v>Late arrival</x:v>
      </x:c>
    </x:row>
    <x:row r="12">
      <x:c r="A12" s="11" t="n">
        <x:v>11</x:v>
      </x:c>
      <x:c r="B12" s="18" t="n">
        <x:v>46143</x:v>
      </x:c>
      <x:c r="C12" s="11" t="str">
        <x:v>ST011</x:v>
      </x:c>
      <x:c r="D12" s="11" t="str">
        <x:v>Asad</x:v>
      </x:c>
      <x:c r="E12" s="11" t="str">
        <x:v>Tariq Mehmood</x:v>
      </x:c>
      <x:c r="F12" s="11" t="str">
        <x:v>Present</x:v>
      </x:c>
      <x:c r="G12" s="11" t="str">
        <x:v>Present</x:v>
      </x:c>
      <x:c r="H12" s="11" t="str">
        <x:v>On Time</x:v>
      </x:c>
      <x:c r="I12" s="11" t="str">
        <x:v>0300-1000011</x:v>
      </x:c>
      <x:c r="J12" s="11" t="str">
        <x:v>Good</x:v>
      </x:c>
    </x:row>
    <x:row r="13">
      <x:c r="A13" s="11" t="n">
        <x:v>12</x:v>
      </x:c>
      <x:c r="B13" s="18" t="n">
        <x:v>46143</x:v>
      </x:c>
      <x:c r="C13" s="11" t="str">
        <x:v>ST012</x:v>
      </x:c>
      <x:c r="D13" s="11" t="str">
        <x:v>Ayaan</x:v>
      </x:c>
      <x:c r="E13" s="11" t="str">
        <x:v>Muhammad Saleem</x:v>
      </x:c>
      <x:c r="F13" s="11" t="str">
        <x:v>Absent</x:v>
      </x:c>
      <x:c r="G13" s="11" t="str">
        <x:v>Absent</x:v>
      </x:c>
      <x:c r="H13" s="11" t="str">
        <x:v>Absent</x:v>
      </x:c>
      <x:c r="I13" s="11" t="str">
        <x:v>0300-1000012</x:v>
      </x:c>
      <x:c r="J13" s="11" t="str">
        <x:v>Needs follow-up</x:v>
      </x:c>
    </x:row>
    <x:row r="14">
      <x:c r="A14" s="11" t="n">
        <x:v>13</x:v>
      </x:c>
      <x:c r="B14" s="18" t="n">
        <x:v>46143</x:v>
      </x:c>
      <x:c r="C14" s="11" t="str">
        <x:v>ST013</x:v>
      </x:c>
      <x:c r="D14" s="11" t="str">
        <x:v>Ayesha</x:v>
      </x:c>
      <x:c r="E14" s="11" t="str">
        <x:v>Abdul Qadir</x:v>
      </x:c>
      <x:c r="F14" s="11" t="str">
        <x:v>Present</x:v>
      </x:c>
      <x:c r="G14" s="11" t="str">
        <x:v>Present</x:v>
      </x:c>
      <x:c r="H14" s="11" t="str">
        <x:v>On Time</x:v>
      </x:c>
      <x:c r="I14" s="11" t="str">
        <x:v>0300-1000013</x:v>
      </x:c>
      <x:c r="J14" s="11" t="str">
        <x:v>Good</x:v>
      </x:c>
    </x:row>
    <x:row r="15">
      <x:c r="A15" s="11" t="n">
        <x:v>14</x:v>
      </x:c>
      <x:c r="B15" s="18" t="n">
        <x:v>46143</x:v>
      </x:c>
      <x:c r="C15" s="11" t="str">
        <x:v>ST014</x:v>
      </x:c>
      <x:c r="D15" s="11" t="str">
        <x:v>Bilal</x:v>
      </x:c>
      <x:c r="E15" s="11" t="str">
        <x:v>Muhammad Hanif</x:v>
      </x:c>
      <x:c r="F15" s="11" t="str">
        <x:v>Present</x:v>
      </x:c>
      <x:c r="G15" s="11" t="str">
        <x:v>Present</x:v>
      </x:c>
      <x:c r="H15" s="11" t="str">
        <x:v>On Time</x:v>
      </x:c>
      <x:c r="I15" s="11" t="str">
        <x:v>0300-1000014</x:v>
      </x:c>
      <x:c r="J15" s="11" t="str">
        <x:v>Good</x:v>
      </x:c>
    </x:row>
    <x:row r="16">
      <x:c r="A16" s="11" t="n">
        <x:v>15</x:v>
      </x:c>
      <x:c r="B16" s="18" t="n">
        <x:v>46143</x:v>
      </x:c>
      <x:c r="C16" s="11" t="str">
        <x:v>ST015</x:v>
      </x:c>
      <x:c r="D16" s="11" t="str">
        <x:v>Daniyal</x:v>
      </x:c>
      <x:c r="E16" s="11" t="str">
        <x:v>Ghulam Mustafa</x:v>
      </x:c>
      <x:c r="F16" s="11" t="str">
        <x:v>Present</x:v>
      </x:c>
      <x:c r="G16" s="11" t="str">
        <x:v>Present</x:v>
      </x:c>
      <x:c r="H16" s="11" t="str">
        <x:v>Late</x:v>
      </x:c>
      <x:c r="I16" s="11" t="str">
        <x:v>0300-1000015</x:v>
      </x:c>
      <x:c r="J16" s="11" t="str">
        <x:v>Late arrival</x:v>
      </x:c>
    </x:row>
    <x:row r="17">
      <x:c r="A17" s="11" t="n">
        <x:v>16</x:v>
      </x:c>
      <x:c r="B17" s="18" t="n">
        <x:v>46143</x:v>
      </x:c>
      <x:c r="C17" s="11" t="str">
        <x:v>ST016</x:v>
      </x:c>
      <x:c r="D17" s="11" t="str">
        <x:v>Dua</x:v>
      </x:c>
      <x:c r="E17" s="11" t="str">
        <x:v>Muhammad Ashraf</x:v>
      </x:c>
      <x:c r="F17" s="11" t="str">
        <x:v>Present</x:v>
      </x:c>
      <x:c r="G17" s="11" t="str">
        <x:v>Present</x:v>
      </x:c>
      <x:c r="H17" s="11" t="str">
        <x:v>On Time</x:v>
      </x:c>
      <x:c r="I17" s="11" t="str">
        <x:v>0300-1000016</x:v>
      </x:c>
      <x:c r="J17" s="11" t="str">
        <x:v>Good</x:v>
      </x:c>
    </x:row>
    <x:row r="18">
      <x:c r="A18" s="11" t="n">
        <x:v>17</x:v>
      </x:c>
      <x:c r="B18" s="18" t="n">
        <x:v>46143</x:v>
      </x:c>
      <x:c r="C18" s="11" t="str">
        <x:v>ST017</x:v>
      </x:c>
      <x:c r="D18" s="11" t="str">
        <x:v>Eman</x:v>
      </x:c>
      <x:c r="E18" s="11" t="str">
        <x:v>Muhammad Shafiq</x:v>
      </x:c>
      <x:c r="F18" s="11" t="str">
        <x:v>Absent</x:v>
      </x:c>
      <x:c r="G18" s="11" t="str">
        <x:v>Leave</x:v>
      </x:c>
      <x:c r="H18" s="11" t="str">
        <x:v>Absent</x:v>
      </x:c>
      <x:c r="I18" s="11" t="str">
        <x:v>0300-1000017</x:v>
      </x:c>
      <x:c r="J18" s="11" t="str">
        <x:v>Needs follow-up</x:v>
      </x:c>
    </x:row>
    <x:row r="19">
      <x:c r="A19" s="11" t="n">
        <x:v>18</x:v>
      </x:c>
      <x:c r="B19" s="18" t="n">
        <x:v>46143</x:v>
      </x:c>
      <x:c r="C19" s="11" t="str">
        <x:v>ST018</x:v>
      </x:c>
      <x:c r="D19" s="11" t="str">
        <x:v>Fahad</x:v>
      </x:c>
      <x:c r="E19" s="11" t="str">
        <x:v>Bashir Ahmed</x:v>
      </x:c>
      <x:c r="F19" s="11" t="str">
        <x:v>Present</x:v>
      </x:c>
      <x:c r="G19" s="11" t="str">
        <x:v>Present</x:v>
      </x:c>
      <x:c r="H19" s="11" t="str">
        <x:v>On Time</x:v>
      </x:c>
      <x:c r="I19" s="11" t="str">
        <x:v>0300-1000018</x:v>
      </x:c>
      <x:c r="J19" s="11" t="str">
        <x:v>Good</x:v>
      </x:c>
    </x:row>
    <x:row r="20">
      <x:c r="A20" s="11" t="n">
        <x:v>19</x:v>
      </x:c>
      <x:c r="B20" s="18" t="n">
        <x:v>46143</x:v>
      </x:c>
      <x:c r="C20" s="11" t="str">
        <x:v>ST019</x:v>
      </x:c>
      <x:c r="D20" s="11" t="str">
        <x:v>Faizan</x:v>
      </x:c>
      <x:c r="E20" s="11" t="str">
        <x:v>Muhammad Riaz</x:v>
      </x:c>
      <x:c r="F20" s="11" t="str">
        <x:v>Present</x:v>
      </x:c>
      <x:c r="G20" s="11" t="str">
        <x:v>Present</x:v>
      </x:c>
      <x:c r="H20" s="11" t="str">
        <x:v>On Time</x:v>
      </x:c>
      <x:c r="I20" s="11" t="str">
        <x:v>0300-1000019</x:v>
      </x:c>
      <x:c r="J20" s="11" t="str">
        <x:v>Good</x:v>
      </x:c>
    </x:row>
    <x:row r="21">
      <x:c r="A21" s="11" t="n">
        <x:v>20</x:v>
      </x:c>
      <x:c r="B21" s="18" t="n">
        <x:v>46143</x:v>
      </x:c>
      <x:c r="C21" s="11" t="str">
        <x:v>ST020</x:v>
      </x:c>
      <x:c r="D21" s="11" t="str">
        <x:v>Fatima</x:v>
      </x:c>
      <x:c r="E21" s="11" t="str">
        <x:v>Abdul Hameed</x:v>
      </x:c>
      <x:c r="F21" s="11" t="str">
        <x:v>Present</x:v>
      </x:c>
      <x:c r="G21" s="11" t="str">
        <x:v>Present</x:v>
      </x:c>
      <x:c r="H21" s="11" t="str">
        <x:v>Late</x:v>
      </x:c>
      <x:c r="I21" s="11" t="str">
        <x:v>0300-1000020</x:v>
      </x:c>
      <x:c r="J21" s="11" t="str">
        <x:v>Late arrival</x:v>
      </x:c>
    </x:row>
    <x:row r="22">
      <x:c r="A22" s="11" t="n">
        <x:v>21</x:v>
      </x:c>
      <x:c r="B22" s="18" t="n">
        <x:v>46143</x:v>
      </x:c>
      <x:c r="C22" s="11" t="str">
        <x:v>ST021</x:v>
      </x:c>
      <x:c r="D22" s="11" t="str">
        <x:v>Hafsa</x:v>
      </x:c>
      <x:c r="E22" s="11" t="str">
        <x:v>Muhammad Farooq</x:v>
      </x:c>
      <x:c r="F22" s="11" t="str">
        <x:v>Present</x:v>
      </x:c>
      <x:c r="G22" s="11" t="str">
        <x:v>Present</x:v>
      </x:c>
      <x:c r="H22" s="11" t="str">
        <x:v>On Time</x:v>
      </x:c>
      <x:c r="I22" s="11" t="str">
        <x:v>0300-1000021</x:v>
      </x:c>
      <x:c r="J22" s="11" t="str">
        <x:v>Good</x:v>
      </x:c>
    </x:row>
    <x:row r="23">
      <x:c r="A23" s="11" t="n">
        <x:v>22</x:v>
      </x:c>
      <x:c r="B23" s="18" t="n">
        <x:v>46143</x:v>
      </x:c>
      <x:c r="C23" s="11" t="str">
        <x:v>ST022</x:v>
      </x:c>
      <x:c r="D23" s="11" t="str">
        <x:v>Hamza</x:v>
      </x:c>
      <x:c r="E23" s="11" t="str">
        <x:v>Muhammad Jamil</x:v>
      </x:c>
      <x:c r="F23" s="11" t="str">
        <x:v>Present</x:v>
      </x:c>
      <x:c r="G23" s="11" t="str">
        <x:v>Present</x:v>
      </x:c>
      <x:c r="H23" s="11" t="str">
        <x:v>Late</x:v>
      </x:c>
      <x:c r="I23" s="11" t="str">
        <x:v>0300-1000022</x:v>
      </x:c>
      <x:c r="J23" s="11" t="str">
        <x:v>Late arrival</x:v>
      </x:c>
    </x:row>
    <x:row r="24">
      <x:c r="A24" s="11" t="n">
        <x:v>23</x:v>
      </x:c>
      <x:c r="B24" s="18" t="n">
        <x:v>46143</x:v>
      </x:c>
      <x:c r="C24" s="11" t="str">
        <x:v>ST023</x:v>
      </x:c>
      <x:c r="D24" s="11" t="str">
        <x:v>Hania</x:v>
      </x:c>
      <x:c r="E24" s="11" t="str">
        <x:v>Shahid Iqbal</x:v>
      </x:c>
      <x:c r="F24" s="11" t="str">
        <x:v>Absent</x:v>
      </x:c>
      <x:c r="G24" s="11" t="str">
        <x:v>Leave</x:v>
      </x:c>
      <x:c r="H24" s="11" t="str">
        <x:v>Absent</x:v>
      </x:c>
      <x:c r="I24" s="11" t="str">
        <x:v>0300-1000023</x:v>
      </x:c>
      <x:c r="J24" s="11" t="str">
        <x:v>Needs follow-up</x:v>
      </x:c>
    </x:row>
    <x:row r="25">
      <x:c r="A25" s="11" t="n">
        <x:v>24</x:v>
      </x:c>
      <x:c r="B25" s="18" t="n">
        <x:v>46143</x:v>
      </x:c>
      <x:c r="C25" s="11" t="str">
        <x:v>ST024</x:v>
      </x:c>
      <x:c r="D25" s="11" t="str">
        <x:v>Haris</x:v>
      </x:c>
      <x:c r="E25" s="11" t="str">
        <x:v>Muhammad Nadeem</x:v>
      </x:c>
      <x:c r="F25" s="11" t="str">
        <x:v>Absent</x:v>
      </x:c>
      <x:c r="G25" s="11" t="str">
        <x:v>Absent</x:v>
      </x:c>
      <x:c r="H25" s="11" t="str">
        <x:v>Absent</x:v>
      </x:c>
      <x:c r="I25" s="11" t="str">
        <x:v>0300-1000024</x:v>
      </x:c>
      <x:c r="J25" s="11" t="str">
        <x:v>Needs follow-up</x:v>
      </x:c>
    </x:row>
    <x:row r="26">
      <x:c r="A26" s="11" t="n">
        <x:v>25</x:v>
      </x:c>
      <x:c r="B26" s="18" t="n">
        <x:v>46143</x:v>
      </x:c>
      <x:c r="C26" s="11" t="str">
        <x:v>ST025</x:v>
      </x:c>
      <x:c r="D26" s="11" t="str">
        <x:v>Hassan</x:v>
      </x:c>
      <x:c r="E26" s="11" t="str">
        <x:v>Muhammad Anwar</x:v>
      </x:c>
      <x:c r="F26" s="11" t="str">
        <x:v>Present</x:v>
      </x:c>
      <x:c r="G26" s="11" t="str">
        <x:v>Present</x:v>
      </x:c>
      <x:c r="H26" s="11" t="str">
        <x:v>Late</x:v>
      </x:c>
      <x:c r="I26" s="11" t="str">
        <x:v>0300-1000025</x:v>
      </x:c>
      <x:c r="J26" s="11" t="str">
        <x:v>Late arrival</x:v>
      </x:c>
    </x:row>
    <x:row r="27">
      <x:c r="A27" s="11" t="n">
        <x:v>26</x:v>
      </x:c>
      <x:c r="B27" s="18" t="n">
        <x:v>46143</x:v>
      </x:c>
      <x:c r="C27" s="11" t="str">
        <x:v>ST026</x:v>
      </x:c>
      <x:c r="D27" s="11" t="str">
        <x:v>Hira</x:v>
      </x:c>
      <x:c r="E27" s="11" t="str">
        <x:v>Asif Mehmood</x:v>
      </x:c>
      <x:c r="F27" s="11" t="str">
        <x:v>Present</x:v>
      </x:c>
      <x:c r="G27" s="11" t="str">
        <x:v>Present</x:v>
      </x:c>
      <x:c r="H27" s="11" t="str">
        <x:v>On Time</x:v>
      </x:c>
      <x:c r="I27" s="11" t="str">
        <x:v>0300-1000026</x:v>
      </x:c>
      <x:c r="J27" s="11" t="str">
        <x:v>Good</x:v>
      </x:c>
    </x:row>
    <x:row r="28">
      <x:c r="A28" s="11" t="n">
        <x:v>27</x:v>
      </x:c>
      <x:c r="B28" s="18" t="n">
        <x:v>46143</x:v>
      </x:c>
      <x:c r="C28" s="11" t="str">
        <x:v>ST027</x:v>
      </x:c>
      <x:c r="D28" s="11" t="str">
        <x:v>Imran</x:v>
      </x:c>
      <x:c r="E28" s="11" t="str">
        <x:v>Muhammad Sarwar</x:v>
      </x:c>
      <x:c r="F28" s="11" t="str">
        <x:v>Present</x:v>
      </x:c>
      <x:c r="G28" s="11" t="str">
        <x:v>Present</x:v>
      </x:c>
      <x:c r="H28" s="11" t="str">
        <x:v>Late</x:v>
      </x:c>
      <x:c r="I28" s="11" t="str">
        <x:v>0300-1000027</x:v>
      </x:c>
      <x:c r="J28" s="11" t="str">
        <x:v>Late arrival</x:v>
      </x:c>
    </x:row>
    <x:row r="29">
      <x:c r="A29" s="11" t="n">
        <x:v>28</x:v>
      </x:c>
      <x:c r="B29" s="18" t="n">
        <x:v>46143</x:v>
      </x:c>
      <x:c r="C29" s="11" t="str">
        <x:v>ST028</x:v>
      </x:c>
      <x:c r="D29" s="11" t="str">
        <x:v>Iqra</x:v>
      </x:c>
      <x:c r="E29" s="11" t="str">
        <x:v>Muhammad Sajid</x:v>
      </x:c>
      <x:c r="F29" s="11" t="str">
        <x:v>Absent</x:v>
      </x:c>
      <x:c r="G29" s="11" t="str">
        <x:v>Absent</x:v>
      </x:c>
      <x:c r="H29" s="11" t="str">
        <x:v>Absent</x:v>
      </x:c>
      <x:c r="I29" s="11" t="str">
        <x:v>0300-1000028</x:v>
      </x:c>
      <x:c r="J29" s="11" t="str">
        <x:v>Needs follow-up</x:v>
      </x:c>
    </x:row>
    <x:row r="30">
      <x:c r="A30" s="11" t="n">
        <x:v>29</x:v>
      </x:c>
      <x:c r="B30" s="18" t="n">
        <x:v>46143</x:v>
      </x:c>
      <x:c r="C30" s="11" t="str">
        <x:v>ST029</x:v>
      </x:c>
      <x:c r="D30" s="11" t="str">
        <x:v>Junaid</x:v>
      </x:c>
      <x:c r="E30" s="11" t="str">
        <x:v>Liaqat Ali</x:v>
      </x:c>
      <x:c r="F30" s="11" t="str">
        <x:v>Absent</x:v>
      </x:c>
      <x:c r="G30" s="11" t="str">
        <x:v>Leave</x:v>
      </x:c>
      <x:c r="H30" s="11" t="str">
        <x:v>Absent</x:v>
      </x:c>
      <x:c r="I30" s="11" t="str">
        <x:v>0300-1000029</x:v>
      </x:c>
      <x:c r="J30" s="11" t="str">
        <x:v>Needs follow-up</x:v>
      </x:c>
    </x:row>
    <x:row r="31">
      <x:c r="A31" s="11" t="n">
        <x:v>30</x:v>
      </x:c>
      <x:c r="B31" s="18" t="n">
        <x:v>46143</x:v>
      </x:c>
      <x:c r="C31" s="11" t="str">
        <x:v>ST030</x:v>
      </x:c>
      <x:c r="D31" s="11" t="str">
        <x:v>Khadija</x:v>
      </x:c>
      <x:c r="E31" s="11" t="str">
        <x:v>Muhammad Latif</x:v>
      </x:c>
      <x:c r="F31" s="11" t="str">
        <x:v>Present</x:v>
      </x:c>
      <x:c r="G31" s="11" t="str">
        <x:v>Present</x:v>
      </x:c>
      <x:c r="H31" s="11" t="str">
        <x:v>Late</x:v>
      </x:c>
      <x:c r="I31" s="11" t="str">
        <x:v>0300-1000030</x:v>
      </x:c>
      <x:c r="J31" s="11" t="str">
        <x:v>Late arrival</x:v>
      </x:c>
    </x:row>
    <x:row r="32">
      <x:c r="A32" s="11" t="n">
        <x:v>31</x:v>
      </x:c>
      <x:c r="B32" s="18" t="n">
        <x:v>46143</x:v>
      </x:c>
      <x:c r="C32" s="11" t="str">
        <x:v>ST031</x:v>
      </x:c>
      <x:c r="D32" s="11" t="str">
        <x:v>Kinza</x:v>
      </x:c>
      <x:c r="E32" s="11" t="str">
        <x:v>Muhammad Ishaq</x:v>
      </x:c>
      <x:c r="F32" s="11" t="str">
        <x:v>Present</x:v>
      </x:c>
      <x:c r="G32" s="11" t="str">
        <x:v>Present</x:v>
      </x:c>
      <x:c r="H32" s="11" t="str">
        <x:v>On Time</x:v>
      </x:c>
      <x:c r="I32" s="11" t="str">
        <x:v>0300-1000031</x:v>
      </x:c>
      <x:c r="J32" s="11" t="str">
        <x:v>Good</x:v>
      </x:c>
    </x:row>
    <x:row r="33">
      <x:c r="A33" s="11" t="n">
        <x:v>32</x:v>
      </x:c>
      <x:c r="B33" s="18" t="n">
        <x:v>46143</x:v>
      </x:c>
      <x:c r="C33" s="11" t="str">
        <x:v>ST032</x:v>
      </x:c>
      <x:c r="D33" s="11" t="str">
        <x:v>Laiba</x:v>
      </x:c>
      <x:c r="E33" s="11" t="str">
        <x:v>Abdul Sattar</x:v>
      </x:c>
      <x:c r="F33" s="11" t="str">
        <x:v>Present</x:v>
      </x:c>
      <x:c r="G33" s="11" t="str">
        <x:v>Present</x:v>
      </x:c>
      <x:c r="H33" s="11" t="str">
        <x:v>Late</x:v>
      </x:c>
      <x:c r="I33" s="11" t="str">
        <x:v>0300-1000032</x:v>
      </x:c>
      <x:c r="J33" s="11" t="str">
        <x:v>Late arrival</x:v>
      </x:c>
    </x:row>
    <x:row r="34">
      <x:c r="A34" s="11" t="n">
        <x:v>33</x:v>
      </x:c>
      <x:c r="B34" s="18" t="n">
        <x:v>46143</x:v>
      </x:c>
      <x:c r="C34" s="11" t="str">
        <x:v>ST033</x:v>
      </x:c>
      <x:c r="D34" s="11" t="str">
        <x:v>Maham</x:v>
      </x:c>
      <x:c r="E34" s="11" t="str">
        <x:v>Muhammad Bashir</x:v>
      </x:c>
      <x:c r="F34" s="11" t="str">
        <x:v>Present</x:v>
      </x:c>
      <x:c r="G34" s="11" t="str">
        <x:v>Present</x:v>
      </x:c>
      <x:c r="H34" s="11" t="str">
        <x:v>On Time</x:v>
      </x:c>
      <x:c r="I34" s="11" t="str">
        <x:v>0300-1000033</x:v>
      </x:c>
      <x:c r="J34" s="11" t="str">
        <x:v>Good</x:v>
      </x:c>
    </x:row>
    <x:row r="35">
      <x:c r="A35" s="11" t="n">
        <x:v>34</x:v>
      </x:c>
      <x:c r="B35" s="18" t="n">
        <x:v>46143</x:v>
      </x:c>
      <x:c r="C35" s="11" t="str">
        <x:v>ST034</x:v>
      </x:c>
      <x:c r="D35" s="11" t="str">
        <x:v>Maryam</x:v>
      </x:c>
      <x:c r="E35" s="11" t="str">
        <x:v>Muhammad Rafiq</x:v>
      </x:c>
      <x:c r="F35" s="11" t="str">
        <x:v>Absent</x:v>
      </x:c>
      <x:c r="G35" s="11" t="str">
        <x:v>Absent</x:v>
      </x:c>
      <x:c r="H35" s="11" t="str">
        <x:v>Absent</x:v>
      </x:c>
      <x:c r="I35" s="11" t="str">
        <x:v>0300-1000034</x:v>
      </x:c>
      <x:c r="J35" s="11" t="str">
        <x:v>Needs follow-up</x:v>
      </x:c>
    </x:row>
    <x:row r="36">
      <x:c r="A36" s="11" t="n">
        <x:v>35</x:v>
      </x:c>
      <x:c r="B36" s="18" t="n">
        <x:v>46143</x:v>
      </x:c>
      <x:c r="C36" s="11" t="str">
        <x:v>ST035</x:v>
      </x:c>
      <x:c r="D36" s="11" t="str">
        <x:v>Mehak</x:v>
      </x:c>
      <x:c r="E36" s="11" t="str">
        <x:v>Muhammad Idrees</x:v>
      </x:c>
      <x:c r="F36" s="11" t="str">
        <x:v>Present</x:v>
      </x:c>
      <x:c r="G36" s="11" t="str">
        <x:v>Present</x:v>
      </x:c>
      <x:c r="H36" s="11" t="str">
        <x:v>Late</x:v>
      </x:c>
      <x:c r="I36" s="11" t="str">
        <x:v>0300-1000035</x:v>
      </x:c>
      <x:c r="J36" s="11" t="str">
        <x:v>Late arrival</x:v>
      </x:c>
    </x:row>
    <x:row r="37">
      <x:c r="A37" s="11" t="n">
        <x:v>36</x:v>
      </x:c>
      <x:c r="B37" s="18" t="n">
        <x:v>46143</x:v>
      </x:c>
      <x:c r="C37" s="11" t="str">
        <x:v>ST036</x:v>
      </x:c>
      <x:c r="D37" s="11" t="str">
        <x:v>Minahil</x:v>
      </x:c>
      <x:c r="E37" s="11" t="str">
        <x:v>Muhammad Yaqoob</x:v>
      </x:c>
      <x:c r="F37" s="11" t="str">
        <x:v>Absent</x:v>
      </x:c>
      <x:c r="G37" s="11" t="str">
        <x:v>Absent</x:v>
      </x:c>
      <x:c r="H37" s="11" t="str">
        <x:v>Absent</x:v>
      </x:c>
      <x:c r="I37" s="11" t="str">
        <x:v>0300-1000036</x:v>
      </x:c>
      <x:c r="J37" s="11" t="str">
        <x:v>Needs follow-up</x:v>
      </x:c>
    </x:row>
    <x:row r="38">
      <x:c r="A38" s="11" t="n">
        <x:v>37</x:v>
      </x:c>
      <x:c r="B38" s="18" t="n">
        <x:v>46143</x:v>
      </x:c>
      <x:c r="C38" s="11" t="str">
        <x:v>ST037</x:v>
      </x:c>
      <x:c r="D38" s="11" t="str">
        <x:v>Mustafa</x:v>
      </x:c>
      <x:c r="E38" s="11" t="str">
        <x:v>Ghulam Rasool</x:v>
      </x:c>
      <x:c r="F38" s="11" t="str">
        <x:v>Present</x:v>
      </x:c>
      <x:c r="G38" s="11" t="str">
        <x:v>Present</x:v>
      </x:c>
      <x:c r="H38" s="11" t="str">
        <x:v>Late</x:v>
      </x:c>
      <x:c r="I38" s="11" t="str">
        <x:v>0300-1000037</x:v>
      </x:c>
      <x:c r="J38" s="11" t="str">
        <x:v>Late arrival</x:v>
      </x:c>
    </x:row>
    <x:row r="39">
      <x:c r="A39" s="11" t="n">
        <x:v>38</x:v>
      </x:c>
      <x:c r="B39" s="18" t="n">
        <x:v>46143</x:v>
      </x:c>
      <x:c r="C39" s="11" t="str">
        <x:v>ST038</x:v>
      </x:c>
      <x:c r="D39" s="11" t="str">
        <x:v>Nimra</x:v>
      </x:c>
      <x:c r="E39" s="11" t="str">
        <x:v>Muhammad Nawaz</x:v>
      </x:c>
      <x:c r="F39" s="11" t="str">
        <x:v>Present</x:v>
      </x:c>
      <x:c r="G39" s="11" t="str">
        <x:v>Present</x:v>
      </x:c>
      <x:c r="H39" s="11" t="str">
        <x:v>On Time</x:v>
      </x:c>
      <x:c r="I39" s="11" t="str">
        <x:v>0300-1000038</x:v>
      </x:c>
      <x:c r="J39" s="11" t="str">
        <x:v>Good</x:v>
      </x:c>
    </x:row>
    <x:row r="40">
      <x:c r="A40" s="11" t="n">
        <x:v>39</x:v>
      </x:c>
      <x:c r="B40" s="18" t="n">
        <x:v>46143</x:v>
      </x:c>
      <x:c r="C40" s="11" t="str">
        <x:v>ST039</x:v>
      </x:c>
      <x:c r="D40" s="11" t="str">
        <x:v>Noor</x:v>
      </x:c>
      <x:c r="E40" s="11" t="str">
        <x:v>Muhammad Rauf</x:v>
      </x:c>
      <x:c r="F40" s="11" t="str">
        <x:v>Absent</x:v>
      </x:c>
      <x:c r="G40" s="11" t="str">
        <x:v>Leave</x:v>
      </x:c>
      <x:c r="H40" s="11" t="str">
        <x:v>Absent</x:v>
      </x:c>
      <x:c r="I40" s="11" t="str">
        <x:v>0300-1000039</x:v>
      </x:c>
      <x:c r="J40" s="11" t="str">
        <x:v>Needs follow-up</x:v>
      </x:c>
    </x:row>
    <x:row r="41">
      <x:c r="A41" s="11" t="n">
        <x:v>40</x:v>
      </x:c>
      <x:c r="B41" s="18" t="n">
        <x:v>46143</x:v>
      </x:c>
      <x:c r="C41" s="11" t="str">
        <x:v>ST040</x:v>
      </x:c>
      <x:c r="D41" s="11" t="str">
        <x:v>Rabia</x:v>
      </x:c>
      <x:c r="E41" s="11" t="str">
        <x:v>Muhammad Afzal</x:v>
      </x:c>
      <x:c r="F41" s="11" t="str">
        <x:v>Present</x:v>
      </x:c>
      <x:c r="G41" s="11" t="str">
        <x:v>Present</x:v>
      </x:c>
      <x:c r="H41" s="11" t="str">
        <x:v>Late</x:v>
      </x:c>
      <x:c r="I41" s="11" t="str">
        <x:v>0300-1000040</x:v>
      </x:c>
      <x:c r="J41" s="11" t="str">
        <x:v>Late arrival</x:v>
      </x:c>
    </x:row>
    <x:row r="42">
      <x:c r="A42" s="11" t="n">
        <x:v>41</x:v>
      </x:c>
      <x:c r="B42" s="18" t="n">
        <x:v>46143</x:v>
      </x:c>
      <x:c r="C42" s="11" t="str">
        <x:v>ST041</x:v>
      </x:c>
      <x:c r="D42" s="11" t="str">
        <x:v>Rayyan</x:v>
      </x:c>
      <x:c r="E42" s="11" t="str">
        <x:v>Muhammad Shabbir</x:v>
      </x:c>
      <x:c r="F42" s="11" t="str">
        <x:v>Present</x:v>
      </x:c>
      <x:c r="G42" s="11" t="str">
        <x:v>Present</x:v>
      </x:c>
      <x:c r="H42" s="11" t="str">
        <x:v>On Time</x:v>
      </x:c>
      <x:c r="I42" s="11" t="str">
        <x:v>0300-1000041</x:v>
      </x:c>
      <x:c r="J42" s="11" t="str">
        <x:v>Good</x:v>
      </x:c>
    </x:row>
    <x:row r="43">
      <x:c r="A43" s="11" t="n">
        <x:v>42</x:v>
      </x:c>
      <x:c r="B43" s="18" t="n">
        <x:v>46143</x:v>
      </x:c>
      <x:c r="C43" s="11" t="str">
        <x:v>ST042</x:v>
      </x:c>
      <x:c r="D43" s="11" t="str">
        <x:v>Rizwan</x:v>
      </x:c>
      <x:c r="E43" s="11" t="str">
        <x:v>Muhammad Munir</x:v>
      </x:c>
      <x:c r="F43" s="11" t="str">
        <x:v>Present</x:v>
      </x:c>
      <x:c r="G43" s="11" t="str">
        <x:v>Present</x:v>
      </x:c>
      <x:c r="H43" s="11" t="str">
        <x:v>Late</x:v>
      </x:c>
      <x:c r="I43" s="11" t="str">
        <x:v>0300-1000042</x:v>
      </x:c>
      <x:c r="J43" s="11" t="str">
        <x:v>Late arrival</x:v>
      </x:c>
    </x:row>
    <x:row r="44">
      <x:c r="A44" s="11" t="n">
        <x:v>43</x:v>
      </x:c>
      <x:c r="B44" s="18" t="n">
        <x:v>46143</x:v>
      </x:c>
      <x:c r="C44" s="11" t="str">
        <x:v>ST043</x:v>
      </x:c>
      <x:c r="D44" s="11" t="str">
        <x:v>Saad</x:v>
      </x:c>
      <x:c r="E44" s="11" t="str">
        <x:v>Muhammad Ilyas</x:v>
      </x:c>
      <x:c r="F44" s="11" t="str">
        <x:v>Absent</x:v>
      </x:c>
      <x:c r="G44" s="11" t="str">
        <x:v>Leave</x:v>
      </x:c>
      <x:c r="H44" s="11" t="str">
        <x:v>Absent</x:v>
      </x:c>
      <x:c r="I44" s="11" t="str">
        <x:v>0300-1000043</x:v>
      </x:c>
      <x:c r="J44" s="11" t="str">
        <x:v>Needs follow-up</x:v>
      </x:c>
    </x:row>
    <x:row r="45">
      <x:c r="A45" s="11" t="n">
        <x:v>44</x:v>
      </x:c>
      <x:c r="B45" s="18" t="n">
        <x:v>46143</x:v>
      </x:c>
      <x:c r="C45" s="11" t="str">
        <x:v>ST044</x:v>
      </x:c>
      <x:c r="D45" s="11" t="str">
        <x:v>Saba</x:v>
      </x:c>
      <x:c r="E45" s="11" t="str">
        <x:v>Muhammad Zafar</x:v>
      </x:c>
      <x:c r="F45" s="11" t="str">
        <x:v>Present</x:v>
      </x:c>
      <x:c r="G45" s="11" t="str">
        <x:v>Present</x:v>
      </x:c>
      <x:c r="H45" s="11" t="str">
        <x:v>On Time</x:v>
      </x:c>
      <x:c r="I45" s="11" t="str">
        <x:v>0300-1000044</x:v>
      </x:c>
      <x:c r="J45" s="11" t="str">
        <x:v>Good</x:v>
      </x:c>
    </x:row>
    <x:row r="46">
      <x:c r="A46" s="11" t="n">
        <x:v>45</x:v>
      </x:c>
      <x:c r="B46" s="18" t="n">
        <x:v>46143</x:v>
      </x:c>
      <x:c r="C46" s="11" t="str">
        <x:v>ST045</x:v>
      </x:c>
      <x:c r="D46" s="11" t="str">
        <x:v>Salman</x:v>
      </x:c>
      <x:c r="E46" s="11" t="str">
        <x:v>Muhammad Arif</x:v>
      </x:c>
      <x:c r="F46" s="11" t="str">
        <x:v>Absent</x:v>
      </x:c>
      <x:c r="G46" s="11" t="str">
        <x:v>Leave</x:v>
      </x:c>
      <x:c r="H46" s="11" t="str">
        <x:v>Absent</x:v>
      </x:c>
      <x:c r="I46" s="11" t="str">
        <x:v>0300-1000045</x:v>
      </x:c>
      <x:c r="J46" s="11" t="str">
        <x:v>Needs follow-up</x:v>
      </x:c>
    </x:row>
    <x:row r="47">
      <x:c r="A47" s="11" t="n">
        <x:v>46</x:v>
      </x:c>
      <x:c r="B47" s="18" t="n">
        <x:v>46143</x:v>
      </x:c>
      <x:c r="C47" s="11" t="str">
        <x:v>ST046</x:v>
      </x:c>
      <x:c r="D47" s="11" t="str">
        <x:v>Sana</x:v>
      </x:c>
      <x:c r="E47" s="11" t="str">
        <x:v>Muhammad Nazir</x:v>
      </x:c>
      <x:c r="F47" s="11" t="str">
        <x:v>Present</x:v>
      </x:c>
      <x:c r="G47" s="11" t="str">
        <x:v>Present</x:v>
      </x:c>
      <x:c r="H47" s="11" t="str">
        <x:v>On Time</x:v>
      </x:c>
      <x:c r="I47" s="11" t="str">
        <x:v>0300-1000046</x:v>
      </x:c>
      <x:c r="J47" s="11" t="str">
        <x:v>Good</x:v>
      </x:c>
    </x:row>
    <x:row r="48">
      <x:c r="A48" s="11" t="n">
        <x:v>47</x:v>
      </x:c>
      <x:c r="B48" s="18" t="n">
        <x:v>46143</x:v>
      </x:c>
      <x:c r="C48" s="11" t="str">
        <x:v>ST047</x:v>
      </x:c>
      <x:c r="D48" s="11" t="str">
        <x:v>Shahzaib</x:v>
      </x:c>
      <x:c r="E48" s="11" t="str">
        <x:v>Muhammad Siddique</x:v>
      </x:c>
      <x:c r="F48" s="11" t="str">
        <x:v>Present</x:v>
      </x:c>
      <x:c r="G48" s="11" t="str">
        <x:v>Present</x:v>
      </x:c>
      <x:c r="H48" s="11" t="str">
        <x:v>Late</x:v>
      </x:c>
      <x:c r="I48" s="11" t="str">
        <x:v>0300-1000047</x:v>
      </x:c>
      <x:c r="J48" s="11" t="str">
        <x:v>Late arrival</x:v>
      </x:c>
    </x:row>
    <x:row r="49">
      <x:c r="A49" s="11" t="n">
        <x:v>48</x:v>
      </x:c>
      <x:c r="B49" s="18" t="n">
        <x:v>46143</x:v>
      </x:c>
      <x:c r="C49" s="11" t="str">
        <x:v>ST048</x:v>
      </x:c>
      <x:c r="D49" s="11" t="str">
        <x:v>Taha</x:v>
      </x:c>
      <x:c r="E49" s="11" t="str">
        <x:v>Muhammad Tariq</x:v>
      </x:c>
      <x:c r="F49" s="11" t="str">
        <x:v>Present</x:v>
      </x:c>
      <x:c r="G49" s="11" t="str">
        <x:v>Present</x:v>
      </x:c>
      <x:c r="H49" s="11" t="str">
        <x:v>On Time</x:v>
      </x:c>
      <x:c r="I49" s="11" t="str">
        <x:v>0300-1000048</x:v>
      </x:c>
      <x:c r="J49" s="11" t="str">
        <x:v>Good</x:v>
      </x:c>
    </x:row>
    <x:row r="50">
      <x:c r="A50" s="11" t="n">
        <x:v>49</x:v>
      </x:c>
      <x:c r="B50" s="18" t="n">
        <x:v>46143</x:v>
      </x:c>
      <x:c r="C50" s="11" t="str">
        <x:v>ST049</x:v>
      </x:c>
      <x:c r="D50" s="11" t="str">
        <x:v>Talha</x:v>
      </x:c>
      <x:c r="E50" s="11" t="str">
        <x:v>Muhammad Ameen</x:v>
      </x:c>
      <x:c r="F50" s="11" t="str">
        <x:v>Present</x:v>
      </x:c>
      <x:c r="G50" s="11" t="str">
        <x:v>Present</x:v>
      </x:c>
      <x:c r="H50" s="11" t="str">
        <x:v>On Time</x:v>
      </x:c>
      <x:c r="I50" s="11" t="str">
        <x:v>0300-1000049</x:v>
      </x:c>
      <x:c r="J50" s="11" t="str">
        <x:v>Good</x:v>
      </x:c>
    </x:row>
    <x:row r="51">
      <x:c r="A51" s="11" t="n">
        <x:v>50</x:v>
      </x:c>
      <x:c r="B51" s="18" t="n">
        <x:v>46143</x:v>
      </x:c>
      <x:c r="C51" s="11" t="str">
        <x:v>ST050</x:v>
      </x:c>
      <x:c r="D51" s="11" t="str">
        <x:v>Umar</x:v>
      </x:c>
      <x:c r="E51" s="11" t="str">
        <x:v>Muhammad Ayub</x:v>
      </x:c>
      <x:c r="F51" s="11" t="str">
        <x:v>Present</x:v>
      </x:c>
      <x:c r="G51" s="11" t="str">
        <x:v>Present</x:v>
      </x:c>
      <x:c r="H51" s="11" t="str">
        <x:v>Late</x:v>
      </x:c>
      <x:c r="I51" s="11" t="str">
        <x:v>0300-1000050</x:v>
      </x:c>
      <x:c r="J51" s="11" t="str">
        <x:v>Late arrival</x:v>
      </x:c>
    </x:row>
    <x:row r="52">
      <x:c r="A52" s="11" t="n">
        <x:v>51</x:v>
      </x:c>
      <x:c r="B52" s="18" t="n">
        <x:v>46143</x:v>
      </x:c>
      <x:c r="C52" s="11" t="str">
        <x:v>ST051</x:v>
      </x:c>
      <x:c r="D52" s="11" t="str">
        <x:v>Usman</x:v>
      </x:c>
      <x:c r="E52" s="11" t="str">
        <x:v>Muhammad Ramzan</x:v>
      </x:c>
      <x:c r="F52" s="11" t="str">
        <x:v>Present</x:v>
      </x:c>
      <x:c r="G52" s="11" t="str">
        <x:v>Present</x:v>
      </x:c>
      <x:c r="H52" s="11" t="str">
        <x:v>On Time</x:v>
      </x:c>
      <x:c r="I52" s="11" t="str">
        <x:v>0300-1000051</x:v>
      </x:c>
      <x:c r="J52" s="11" t="str">
        <x:v>Good</x:v>
      </x:c>
    </x:row>
    <x:row r="53">
      <x:c r="A53" s="11" t="n">
        <x:v>52</x:v>
      </x:c>
      <x:c r="B53" s="18" t="n">
        <x:v>46143</x:v>
      </x:c>
      <x:c r="C53" s="11" t="str">
        <x:v>ST052</x:v>
      </x:c>
      <x:c r="D53" s="11" t="str">
        <x:v>Waqas</x:v>
      </x:c>
      <x:c r="E53" s="11" t="str">
        <x:v>Muhammad Yasin</x:v>
      </x:c>
      <x:c r="F53" s="11" t="str">
        <x:v>Absent</x:v>
      </x:c>
      <x:c r="G53" s="11" t="str">
        <x:v>Absent</x:v>
      </x:c>
      <x:c r="H53" s="11" t="str">
        <x:v>Absent</x:v>
      </x:c>
      <x:c r="I53" s="11" t="str">
        <x:v>0300-1000052</x:v>
      </x:c>
      <x:c r="J53" s="11" t="str">
        <x:v>Needs follow-up</x:v>
      </x:c>
    </x:row>
    <x:row r="54">
      <x:c r="A54" s="11" t="n">
        <x:v>53</x:v>
      </x:c>
      <x:c r="B54" s="18" t="n">
        <x:v>46143</x:v>
      </x:c>
      <x:c r="C54" s="11" t="str">
        <x:v>ST053</x:v>
      </x:c>
      <x:c r="D54" s="11" t="str">
        <x:v>Zain</x:v>
      </x:c>
      <x:c r="E54" s="11" t="str">
        <x:v>Muhammad Mushtaq</x:v>
      </x:c>
      <x:c r="F54" s="11" t="str">
        <x:v>Present</x:v>
      </x:c>
      <x:c r="G54" s="11" t="str">
        <x:v>Present</x:v>
      </x:c>
      <x:c r="H54" s="11" t="str">
        <x:v>On Time</x:v>
      </x:c>
      <x:c r="I54" s="11" t="str">
        <x:v>0300-1000053</x:v>
      </x:c>
      <x:c r="J54" s="11" t="str">
        <x:v>Good</x:v>
      </x:c>
    </x:row>
    <x:row r="55">
      <x:c r="A55" s="11" t="n">
        <x:v>54</x:v>
      </x:c>
      <x:c r="B55" s="18" t="n">
        <x:v>46143</x:v>
      </x:c>
      <x:c r="C55" s="11" t="str">
        <x:v>ST054</x:v>
      </x:c>
      <x:c r="D55" s="11" t="str">
        <x:v>Zainab</x:v>
      </x:c>
      <x:c r="E55" s="11" t="str">
        <x:v>Muhammad Ismail</x:v>
      </x:c>
      <x:c r="F55" s="11" t="str">
        <x:v>Present</x:v>
      </x:c>
      <x:c r="G55" s="11" t="str">
        <x:v>Present</x:v>
      </x:c>
      <x:c r="H55" s="11" t="str">
        <x:v>On Time</x:v>
      </x:c>
      <x:c r="I55" s="11" t="str">
        <x:v>0300-1000054</x:v>
      </x:c>
      <x:c r="J55" s="11" t="str">
        <x:v>Good</x:v>
      </x:c>
    </x:row>
    <x:row r="56">
      <x:c r="A56" s="11" t="n">
        <x:v>55</x:v>
      </x:c>
      <x:c r="B56" s="18" t="n">
        <x:v>46143</x:v>
      </x:c>
      <x:c r="C56" s="11" t="str">
        <x:v>ST055</x:v>
      </x:c>
      <x:c r="D56" s="11" t="str">
        <x:v>Zara</x:v>
      </x:c>
      <x:c r="E56" s="11" t="str">
        <x:v>Muhammad Shakeel</x:v>
      </x:c>
      <x:c r="F56" s="11" t="str">
        <x:v>Absent</x:v>
      </x:c>
      <x:c r="G56" s="11" t="str">
        <x:v>Leave</x:v>
      </x:c>
      <x:c r="H56" s="11" t="str">
        <x:v>Absent</x:v>
      </x:c>
      <x:c r="I56" s="11" t="str">
        <x:v>0300-1000055</x:v>
      </x:c>
      <x:c r="J56" s="11" t="str">
        <x:v>Needs follow-up</x:v>
      </x:c>
    </x:row>
  </x:sheetData>
  <x:conditionalFormatting sqref="F2:H56">
    <x:cfRule type="expression" dxfId="8" priority="1">
      <x:formula>F2="Present"</x:formula>
    </x:cfRule>
    <x:cfRule type="expression" dxfId="9" priority="2">
      <x:formula>F2="Absent"</x:formula>
    </x:cfRule>
  </x:conditionalFormatting>
  <x:conditionalFormatting sqref="H2:H56">
    <x:cfRule type="expression" dxfId="10" priority="3">
      <x:formula>H2="Late"</x:formula>
    </x:cfRule>
  </x:conditionalFormatting>
  <x:dataValidations count="2">
    <x:dataValidation type="list" sqref="F2:F56">
      <x:formula1>Lists!$B$2:$B$4</x:formula1>
    </x:dataValidation>
    <x:dataValidation type="list" sqref="H2:H56">
      <x:formula1>Lists!$C$2:$C$3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87fd598c0e46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2" hidden="0" customWidth="1"/>
    <x:col min="9" max="9" width="16" hidden="0" customWidth="1"/>
    <x:col min="10" max="10" width="14" hidden="0" customWidth="1"/>
  </x:cols>
  <x:sheetData>
    <x:row r="1" ht="28" customHeight="1">
      <x:c r="A1" s="43" t="str">
        <x:v>S.No</x:v>
      </x:c>
      <x:c r="B1" s="43" t="str">
        <x:v>Student ID</x:v>
      </x:c>
      <x:c r="C1" s="43" t="str">
        <x:v>Student Name</x:v>
      </x:c>
      <x:c r="D1" s="43" t="str">
        <x:v>Month</x:v>
      </x:c>
      <x:c r="E1" s="43" t="str">
        <x:v>Total Fees</x:v>
      </x:c>
      <x:c r="F1" s="43" t="str">
        <x:v>Paid Amount</x:v>
      </x:c>
      <x:c r="G1" s="43" t="str">
        <x:v>Pending Amount</x:v>
      </x:c>
      <x:c r="H1" s="43" t="str">
        <x:v>Status</x:v>
      </x:c>
      <x:c r="I1" s="43" t="str">
        <x:v>Contact</x:v>
      </x:c>
      <x:c r="J1" s="43" t="str">
        <x:v>Payment Date</x:v>
      </x:c>
    </x:row>
    <x:row r="2">
      <x:c r="A2" s="11" t="n">
        <x:v>1</x:v>
      </x:c>
      <x:c r="B2" s="11" t="str">
        <x:v>ST001</x:v>
      </x:c>
      <x:c r="C2" s="11" t="str">
        <x:v>Abdullah</x:v>
      </x:c>
      <x:c r="D2" s="11" t="str">
        <x:v>January</x:v>
      </x:c>
      <x:c r="E2" s="16" t="n">
        <x:v>1000</x:v>
      </x:c>
      <x:c r="F2" s="16" t="n">
        <x:v>500</x:v>
      </x:c>
      <x:c r="G2" s="16" t="n">
        <x:f>E2-F2</x:f>
        <x:v>500</x:v>
      </x:c>
      <x:c r="H2" s="11" t="str">
        <x:f>IF(G2&lt;=0,"PAID",IF(F2=0,"UNPAID","PARTIAL"))</x:f>
        <x:v>PARTIAL</x:v>
      </x:c>
      <x:c r="I2" s="11" t="str">
        <x:v>0300-1000001</x:v>
      </x:c>
      <x:c r="J2" s="18" t="n">
        <x:v>46025</x:v>
      </x:c>
    </x:row>
    <x:row r="3">
      <x:c r="A3" s="11" t="n">
        <x:v>2</x:v>
      </x:c>
      <x:c r="B3" s="11" t="str">
        <x:v>ST002</x:v>
      </x:c>
      <x:c r="C3" s="11" t="str">
        <x:v>Adnan</x:v>
      </x:c>
      <x:c r="D3" s="11" t="str">
        <x:v>January</x:v>
      </x:c>
      <x:c r="E3" s="16" t="n">
        <x:v>1200</x:v>
      </x:c>
      <x:c r="F3" s="16" t="n">
        <x:v>1000</x:v>
      </x:c>
      <x:c r="G3" s="16" t="n">
        <x:f>E3-F3</x:f>
        <x:v>200</x:v>
      </x:c>
      <x:c r="H3" s="11" t="str">
        <x:f>IF(G3&lt;=0,"PAID",IF(F3=0,"UNPAID","PARTIAL"))</x:f>
        <x:v>PARTIAL</x:v>
      </x:c>
      <x:c r="I3" s="11" t="str">
        <x:v>0300-1000002</x:v>
      </x:c>
      <x:c r="J3" s="18" t="n">
        <x:v>46027</x:v>
      </x:c>
    </x:row>
    <x:row r="4">
      <x:c r="A4" s="11" t="n">
        <x:v>3</x:v>
      </x:c>
      <x:c r="B4" s="11" t="str">
        <x:v>ST003</x:v>
      </x:c>
      <x:c r="C4" s="11" t="str">
        <x:v>Ahmed</x:v>
      </x:c>
      <x:c r="D4" s="11" t="str">
        <x:v>January</x:v>
      </x:c>
      <x:c r="E4" s="16" t="n">
        <x:v>1500</x:v>
      </x:c>
      <x:c r="F4" s="16" t="n">
        <x:v>1200</x:v>
      </x:c>
      <x:c r="G4" s="16" t="n">
        <x:f>E4-F4</x:f>
        <x:v>300</x:v>
      </x:c>
      <x:c r="H4" s="11" t="str">
        <x:f>IF(G4&lt;=0,"PAID",IF(F4=0,"UNPAID","PARTIAL"))</x:f>
        <x:v>PARTIAL</x:v>
      </x:c>
      <x:c r="I4" s="11" t="str">
        <x:v>0300-1000003</x:v>
      </x:c>
      <x:c r="J4" s="18" t="n">
        <x:v>46029</x:v>
      </x:c>
    </x:row>
    <x:row r="5">
      <x:c r="A5" s="11" t="n">
        <x:v>4</x:v>
      </x:c>
      <x:c r="B5" s="11" t="str">
        <x:v>ST004</x:v>
      </x:c>
      <x:c r="C5" s="11" t="str">
        <x:v>Aleena</x:v>
      </x:c>
      <x:c r="D5" s="11" t="str">
        <x:v>January</x:v>
      </x:c>
      <x:c r="E5" s="16" t="n">
        <x:v>2000</x:v>
      </x:c>
      <x:c r="F5" s="16" t="n">
        <x:v>2000</x:v>
      </x:c>
      <x:c r="G5" s="16" t="n">
        <x:f>E5-F5</x:f>
        <x:v>0</x:v>
      </x:c>
      <x:c r="H5" s="11" t="str">
        <x:f>IF(G5&lt;=0,"PAID",IF(F5=0,"UNPAID","PARTIAL"))</x:f>
        <x:v>PAID</x:v>
      </x:c>
      <x:c r="I5" s="11" t="str">
        <x:v>0300-1000004</x:v>
      </x:c>
      <x:c r="J5" s="18" t="n">
        <x:v>46031</x:v>
      </x:c>
    </x:row>
    <x:row r="6">
      <x:c r="A6" s="11" t="n">
        <x:v>5</x:v>
      </x:c>
      <x:c r="B6" s="11" t="str">
        <x:v>ST005</x:v>
      </x:c>
      <x:c r="C6" s="11" t="str">
        <x:v>Ali</x:v>
      </x:c>
      <x:c r="D6" s="11" t="str">
        <x:v>January</x:v>
      </x:c>
      <x:c r="E6" s="16" t="n">
        <x:v>1800</x:v>
      </x:c>
      <x:c r="F6" s="16" t="n">
        <x:v>1500</x:v>
      </x:c>
      <x:c r="G6" s="16" t="n">
        <x:f>E6-F6</x:f>
        <x:v>300</x:v>
      </x:c>
      <x:c r="H6" s="11" t="str">
        <x:f>IF(G6&lt;=0,"PAID",IF(F6=0,"UNPAID","PARTIAL"))</x:f>
        <x:v>PARTIAL</x:v>
      </x:c>
      <x:c r="I6" s="11" t="str">
        <x:v>0300-1000005</x:v>
      </x:c>
      <x:c r="J6" s="18" t="n">
        <x:v>46033</x:v>
      </x:c>
    </x:row>
    <x:row r="7">
      <x:c r="A7" s="11" t="n">
        <x:v>6</x:v>
      </x:c>
      <x:c r="B7" s="11" t="str">
        <x:v>ST006</x:v>
      </x:c>
      <x:c r="C7" s="11" t="str">
        <x:v>Alina</x:v>
      </x:c>
      <x:c r="D7" s="11" t="str">
        <x:v>January</x:v>
      </x:c>
      <x:c r="E7" s="16" t="n">
        <x:v>2500</x:v>
      </x:c>
      <x:c r="F7" s="16" t="n">
        <x:v>2500</x:v>
      </x:c>
      <x:c r="G7" s="16" t="n">
        <x:f>E7-F7</x:f>
        <x:v>0</x:v>
      </x:c>
      <x:c r="H7" s="11" t="str">
        <x:f>IF(G7&lt;=0,"PAID",IF(F7=0,"UNPAID","PARTIAL"))</x:f>
        <x:v>PAID</x:v>
      </x:c>
      <x:c r="I7" s="11" t="str">
        <x:v>0300-1000006</x:v>
      </x:c>
      <x:c r="J7" s="18" t="n">
        <x:v>46035</x:v>
      </x:c>
    </x:row>
    <x:row r="8">
      <x:c r="A8" s="11" t="n">
        <x:v>7</x:v>
      </x:c>
      <x:c r="B8" s="11" t="str">
        <x:v>ST007</x:v>
      </x:c>
      <x:c r="C8" s="11" t="str">
        <x:v>Amna</x:v>
      </x:c>
      <x:c r="D8" s="11" t="str">
        <x:v>January</x:v>
      </x:c>
      <x:c r="E8" s="16" t="n">
        <x:v>3000</x:v>
      </x:c>
      <x:c r="F8" s="16" t="n">
        <x:v>1800</x:v>
      </x:c>
      <x:c r="G8" s="16" t="n">
        <x:f>E8-F8</x:f>
        <x:v>1200</x:v>
      </x:c>
      <x:c r="H8" s="11" t="str">
        <x:f>IF(G8&lt;=0,"PAID",IF(F8=0,"UNPAID","PARTIAL"))</x:f>
        <x:v>PARTIAL</x:v>
      </x:c>
      <x:c r="I8" s="11" t="str">
        <x:v>0300-1000007</x:v>
      </x:c>
      <x:c r="J8" s="18" t="n">
        <x:v>46037</x:v>
      </x:c>
    </x:row>
    <x:row r="9">
      <x:c r="A9" s="11" t="n">
        <x:v>8</x:v>
      </x:c>
      <x:c r="B9" s="11" t="str">
        <x:v>ST008</x:v>
      </x:c>
      <x:c r="C9" s="11" t="str">
        <x:v>Anaya</x:v>
      </x:c>
      <x:c r="D9" s="11" t="str">
        <x:v>January</x:v>
      </x:c>
      <x:c r="E9" s="16" t="n">
        <x:v>1100</x:v>
      </x:c>
      <x:c r="F9" s="16" t="n">
        <x:v>1100</x:v>
      </x:c>
      <x:c r="G9" s="16" t="n">
        <x:f>E9-F9</x:f>
        <x:v>0</x:v>
      </x:c>
      <x:c r="H9" s="11" t="str">
        <x:f>IF(G9&lt;=0,"PAID",IF(F9=0,"UNPAID","PARTIAL"))</x:f>
        <x:v>PAID</x:v>
      </x:c>
      <x:c r="I9" s="11" t="str">
        <x:v>0300-1000008</x:v>
      </x:c>
      <x:c r="J9" s="18" t="n">
        <x:v>46039</x:v>
      </x:c>
    </x:row>
    <x:row r="10">
      <x:c r="A10" s="11" t="n">
        <x:v>9</x:v>
      </x:c>
      <x:c r="B10" s="11" t="str">
        <x:v>ST009</x:v>
      </x:c>
      <x:c r="C10" s="11" t="str">
        <x:v>Areeba</x:v>
      </x:c>
      <x:c r="D10" s="11" t="str">
        <x:v>January</x:v>
      </x:c>
      <x:c r="E10" s="16" t="n">
        <x:v>1400</x:v>
      </x:c>
      <x:c r="F10" s="16" t="n">
        <x:v>1400</x:v>
      </x:c>
      <x:c r="G10" s="16" t="n">
        <x:f>E10-F10</x:f>
        <x:v>0</x:v>
      </x:c>
      <x:c r="H10" s="11" t="str">
        <x:f>IF(G10&lt;=0,"PAID",IF(F10=0,"UNPAID","PARTIAL"))</x:f>
        <x:v>PAID</x:v>
      </x:c>
      <x:c r="I10" s="11" t="str">
        <x:v>0300-1000009</x:v>
      </x:c>
      <x:c r="J10" s="18" t="n">
        <x:v>46041</x:v>
      </x:c>
    </x:row>
    <x:row r="11">
      <x:c r="A11" s="11" t="n">
        <x:v>10</x:v>
      </x:c>
      <x:c r="B11" s="11" t="str">
        <x:v>ST010</x:v>
      </x:c>
      <x:c r="C11" s="11" t="str">
        <x:v>Arslan</x:v>
      </x:c>
      <x:c r="D11" s="11" t="str">
        <x:v>January</x:v>
      </x:c>
      <x:c r="E11" s="16" t="n">
        <x:v>1600</x:v>
      </x:c>
      <x:c r="F11" s="16" t="n">
        <x:v>1600</x:v>
      </x:c>
      <x:c r="G11" s="16" t="n">
        <x:f>E11-F11</x:f>
        <x:v>0</x:v>
      </x:c>
      <x:c r="H11" s="11" t="str">
        <x:f>IF(G11&lt;=0,"PAID",IF(F11=0,"UNPAID","PARTIAL"))</x:f>
        <x:v>PAID</x:v>
      </x:c>
      <x:c r="I11" s="11" t="str">
        <x:v>0300-1000010</x:v>
      </x:c>
      <x:c r="J11" s="18" t="n">
        <x:v>46043</x:v>
      </x:c>
    </x:row>
    <x:row r="12">
      <x:c r="A12" s="11" t="n">
        <x:v>11</x:v>
      </x:c>
      <x:c r="B12" s="11" t="str">
        <x:v>ST011</x:v>
      </x:c>
      <x:c r="C12" s="11" t="str">
        <x:v>Asad</x:v>
      </x:c>
      <x:c r="D12" s="11" t="str">
        <x:v>January</x:v>
      </x:c>
      <x:c r="E12" s="16" t="n">
        <x:v>1700</x:v>
      </x:c>
      <x:c r="F12" s="16" t="n">
        <x:v>900</x:v>
      </x:c>
      <x:c r="G12" s="16" t="n">
        <x:f>E12-F12</x:f>
        <x:v>800</x:v>
      </x:c>
      <x:c r="H12" s="11" t="str">
        <x:f>IF(G12&lt;=0,"PAID",IF(F12=0,"UNPAID","PARTIAL"))</x:f>
        <x:v>PARTIAL</x:v>
      </x:c>
      <x:c r="I12" s="11" t="str">
        <x:v>0300-1000011</x:v>
      </x:c>
      <x:c r="J12" s="18" t="n">
        <x:v>46045</x:v>
      </x:c>
    </x:row>
    <x:row r="13">
      <x:c r="A13" s="11" t="n">
        <x:v>12</x:v>
      </x:c>
      <x:c r="B13" s="11" t="str">
        <x:v>ST012</x:v>
      </x:c>
      <x:c r="C13" s="11" t="str">
        <x:v>Ayaan</x:v>
      </x:c>
      <x:c r="D13" s="11" t="str">
        <x:v>January</x:v>
      </x:c>
      <x:c r="E13" s="16" t="n">
        <x:v>1900</x:v>
      </x:c>
      <x:c r="F13" s="16" t="n">
        <x:v>1600</x:v>
      </x:c>
      <x:c r="G13" s="16" t="n">
        <x:f>E13-F13</x:f>
        <x:v>300</x:v>
      </x:c>
      <x:c r="H13" s="11" t="str">
        <x:f>IF(G13&lt;=0,"PAID",IF(F13=0,"UNPAID","PARTIAL"))</x:f>
        <x:v>PARTIAL</x:v>
      </x:c>
      <x:c r="I13" s="11" t="str">
        <x:v>0300-1000012</x:v>
      </x:c>
      <x:c r="J13" s="18" t="n">
        <x:v>46047</x:v>
      </x:c>
    </x:row>
    <x:row r="14">
      <x:c r="A14" s="11" t="n">
        <x:v>13</x:v>
      </x:c>
      <x:c r="B14" s="11" t="str">
        <x:v>ST013</x:v>
      </x:c>
      <x:c r="C14" s="11" t="str">
        <x:v>Ayesha</x:v>
      </x:c>
      <x:c r="D14" s="11" t="str">
        <x:v>January</x:v>
      </x:c>
      <x:c r="E14" s="16" t="n">
        <x:v>2200</x:v>
      </x:c>
      <x:c r="F14" s="16" t="n">
        <x:v>2200</x:v>
      </x:c>
      <x:c r="G14" s="16" t="n">
        <x:f>E14-F14</x:f>
        <x:v>0</x:v>
      </x:c>
      <x:c r="H14" s="11" t="str">
        <x:f>IF(G14&lt;=0,"PAID",IF(F14=0,"UNPAID","PARTIAL"))</x:f>
        <x:v>PAID</x:v>
      </x:c>
      <x:c r="I14" s="11" t="str">
        <x:v>0300-1000013</x:v>
      </x:c>
      <x:c r="J14" s="18" t="n">
        <x:v>46049</x:v>
      </x:c>
    </x:row>
    <x:row r="15">
      <x:c r="A15" s="11" t="n">
        <x:v>14</x:v>
      </x:c>
      <x:c r="B15" s="11" t="str">
        <x:v>ST014</x:v>
      </x:c>
      <x:c r="C15" s="11" t="str">
        <x:v>Bilal</x:v>
      </x:c>
      <x:c r="D15" s="11" t="str">
        <x:v>January</x:v>
      </x:c>
      <x:c r="E15" s="16" t="n">
        <x:v>2300</x:v>
      </x:c>
      <x:c r="F15" s="16" t="n">
        <x:v>2300</x:v>
      </x:c>
      <x:c r="G15" s="16" t="n">
        <x:f>E15-F15</x:f>
        <x:v>0</x:v>
      </x:c>
      <x:c r="H15" s="11" t="str">
        <x:f>IF(G15&lt;=0,"PAID",IF(F15=0,"UNPAID","PARTIAL"))</x:f>
        <x:v>PAID</x:v>
      </x:c>
      <x:c r="I15" s="11" t="str">
        <x:v>0300-1000014</x:v>
      </x:c>
      <x:c r="J15" s="18" t="n">
        <x:v>46023</x:v>
      </x:c>
    </x:row>
    <x:row r="16">
      <x:c r="A16" s="11" t="n">
        <x:v>15</x:v>
      </x:c>
      <x:c r="B16" s="11" t="str">
        <x:v>ST015</x:v>
      </x:c>
      <x:c r="C16" s="11" t="str">
        <x:v>Daniyal</x:v>
      </x:c>
      <x:c r="D16" s="11" t="str">
        <x:v>January</x:v>
      </x:c>
      <x:c r="E16" s="16" t="n">
        <x:v>2400</x:v>
      </x:c>
      <x:c r="F16" s="16" t="n">
        <x:v>2400</x:v>
      </x:c>
      <x:c r="G16" s="16" t="n">
        <x:f>E16-F16</x:f>
        <x:v>0</x:v>
      </x:c>
      <x:c r="H16" s="11" t="str">
        <x:f>IF(G16&lt;=0,"PAID",IF(F16=0,"UNPAID","PARTIAL"))</x:f>
        <x:v>PAID</x:v>
      </x:c>
      <x:c r="I16" s="11" t="str">
        <x:v>0300-1000015</x:v>
      </x:c>
      <x:c r="J16" s="18" t="n">
        <x:v>46025</x:v>
      </x:c>
    </x:row>
    <x:row r="17">
      <x:c r="A17" s="11" t="n">
        <x:v>16</x:v>
      </x:c>
      <x:c r="B17" s="11" t="str">
        <x:v>ST016</x:v>
      </x:c>
      <x:c r="C17" s="11" t="str">
        <x:v>Dua</x:v>
      </x:c>
      <x:c r="D17" s="11" t="str">
        <x:v>January</x:v>
      </x:c>
      <x:c r="E17" s="16" t="n">
        <x:v>2600</x:v>
      </x:c>
      <x:c r="F17" s="16" t="n">
        <x:v>2100</x:v>
      </x:c>
      <x:c r="G17" s="16" t="n">
        <x:f>E17-F17</x:f>
        <x:v>500</x:v>
      </x:c>
      <x:c r="H17" s="11" t="str">
        <x:f>IF(G17&lt;=0,"PAID",IF(F17=0,"UNPAID","PARTIAL"))</x:f>
        <x:v>PARTIAL</x:v>
      </x:c>
      <x:c r="I17" s="11" t="str">
        <x:v>0300-1000016</x:v>
      </x:c>
      <x:c r="J17" s="18" t="n">
        <x:v>46027</x:v>
      </x:c>
    </x:row>
    <x:row r="18">
      <x:c r="A18" s="11" t="n">
        <x:v>17</x:v>
      </x:c>
      <x:c r="B18" s="11" t="str">
        <x:v>ST017</x:v>
      </x:c>
      <x:c r="C18" s="11" t="str">
        <x:v>Eman</x:v>
      </x:c>
      <x:c r="D18" s="11" t="str">
        <x:v>January</x:v>
      </x:c>
      <x:c r="E18" s="16" t="n">
        <x:v>2800</x:v>
      </x:c>
      <x:c r="F18" s="16" t="n">
        <x:v>2800</x:v>
      </x:c>
      <x:c r="G18" s="16" t="n">
        <x:f>E18-F18</x:f>
        <x:v>0</x:v>
      </x:c>
      <x:c r="H18" s="11" t="str">
        <x:f>IF(G18&lt;=0,"PAID",IF(F18=0,"UNPAID","PARTIAL"))</x:f>
        <x:v>PAID</x:v>
      </x:c>
      <x:c r="I18" s="11" t="str">
        <x:v>0300-1000017</x:v>
      </x:c>
      <x:c r="J18" s="18" t="n">
        <x:v>46029</x:v>
      </x:c>
    </x:row>
    <x:row r="19">
      <x:c r="A19" s="11" t="n">
        <x:v>18</x:v>
      </x:c>
      <x:c r="B19" s="11" t="str">
        <x:v>ST018</x:v>
      </x:c>
      <x:c r="C19" s="11" t="str">
        <x:v>Fahad</x:v>
      </x:c>
      <x:c r="D19" s="11" t="str">
        <x:v>January</x:v>
      </x:c>
      <x:c r="E19" s="16" t="n">
        <x:v>1500</x:v>
      </x:c>
      <x:c r="F19" s="16" t="n">
        <x:v>1500</x:v>
      </x:c>
      <x:c r="G19" s="16" t="n">
        <x:f>E19-F19</x:f>
        <x:v>0</x:v>
      </x:c>
      <x:c r="H19" s="11" t="str">
        <x:f>IF(G19&lt;=0,"PAID",IF(F19=0,"UNPAID","PARTIAL"))</x:f>
        <x:v>PAID</x:v>
      </x:c>
      <x:c r="I19" s="11" t="str">
        <x:v>0300-1000018</x:v>
      </x:c>
      <x:c r="J19" s="18" t="n">
        <x:v>46031</x:v>
      </x:c>
    </x:row>
    <x:row r="20">
      <x:c r="A20" s="11" t="n">
        <x:v>19</x:v>
      </x:c>
      <x:c r="B20" s="11" t="str">
        <x:v>ST019</x:v>
      </x:c>
      <x:c r="C20" s="11" t="str">
        <x:v>Faizan</x:v>
      </x:c>
      <x:c r="D20" s="11" t="str">
        <x:v>January</x:v>
      </x:c>
      <x:c r="E20" s="16" t="n">
        <x:v>1800</x:v>
      </x:c>
      <x:c r="F20" s="16" t="n">
        <x:v>1300</x:v>
      </x:c>
      <x:c r="G20" s="16" t="n">
        <x:f>E20-F20</x:f>
        <x:v>500</x:v>
      </x:c>
      <x:c r="H20" s="11" t="str">
        <x:f>IF(G20&lt;=0,"PAID",IF(F20=0,"UNPAID","PARTIAL"))</x:f>
        <x:v>PARTIAL</x:v>
      </x:c>
      <x:c r="I20" s="11" t="str">
        <x:v>0300-1000019</x:v>
      </x:c>
      <x:c r="J20" s="18" t="n">
        <x:v>46033</x:v>
      </x:c>
    </x:row>
    <x:row r="21">
      <x:c r="A21" s="11" t="n">
        <x:v>20</x:v>
      </x:c>
      <x:c r="B21" s="11" t="str">
        <x:v>ST020</x:v>
      </x:c>
      <x:c r="C21" s="11" t="str">
        <x:v>Fatima</x:v>
      </x:c>
      <x:c r="D21" s="11" t="str">
        <x:v>January</x:v>
      </x:c>
      <x:c r="E21" s="16" t="n">
        <x:v>2000</x:v>
      </x:c>
      <x:c r="F21" s="16" t="n">
        <x:v>2000</x:v>
      </x:c>
      <x:c r="G21" s="16" t="n">
        <x:f>E21-F21</x:f>
        <x:v>0</x:v>
      </x:c>
      <x:c r="H21" s="11" t="str">
        <x:f>IF(G21&lt;=0,"PAID",IF(F21=0,"UNPAID","PARTIAL"))</x:f>
        <x:v>PAID</x:v>
      </x:c>
      <x:c r="I21" s="11" t="str">
        <x:v>0300-1000020</x:v>
      </x:c>
      <x:c r="J21" s="18" t="n">
        <x:v>46035</x:v>
      </x:c>
    </x:row>
    <x:row r="22">
      <x:c r="A22" s="11" t="n">
        <x:v>21</x:v>
      </x:c>
      <x:c r="B22" s="11" t="str">
        <x:v>ST021</x:v>
      </x:c>
      <x:c r="C22" s="11" t="str">
        <x:v>Hafsa</x:v>
      </x:c>
      <x:c r="D22" s="11" t="str">
        <x:v>January</x:v>
      </x:c>
      <x:c r="E22" s="16" t="n">
        <x:v>2100</x:v>
      </x:c>
      <x:c r="F22" s="16" t="n">
        <x:v>1600</x:v>
      </x:c>
      <x:c r="G22" s="16" t="n">
        <x:f>E22-F22</x:f>
        <x:v>500</x:v>
      </x:c>
      <x:c r="H22" s="11" t="str">
        <x:f>IF(G22&lt;=0,"PAID",IF(F22=0,"UNPAID","PARTIAL"))</x:f>
        <x:v>PARTIAL</x:v>
      </x:c>
      <x:c r="I22" s="11" t="str">
        <x:v>0300-1000021</x:v>
      </x:c>
      <x:c r="J22" s="18" t="n">
        <x:v>46037</x:v>
      </x:c>
    </x:row>
    <x:row r="23">
      <x:c r="A23" s="11" t="n">
        <x:v>22</x:v>
      </x:c>
      <x:c r="B23" s="11" t="str">
        <x:v>ST022</x:v>
      </x:c>
      <x:c r="C23" s="11" t="str">
        <x:v>Hamza</x:v>
      </x:c>
      <x:c r="D23" s="11" t="str">
        <x:v>January</x:v>
      </x:c>
      <x:c r="E23" s="16" t="n">
        <x:v>1700</x:v>
      </x:c>
      <x:c r="F23" s="16" t="n">
        <x:v>1700</x:v>
      </x:c>
      <x:c r="G23" s="16" t="n">
        <x:f>E23-F23</x:f>
        <x:v>0</x:v>
      </x:c>
      <x:c r="H23" s="11" t="str">
        <x:f>IF(G23&lt;=0,"PAID",IF(F23=0,"UNPAID","PARTIAL"))</x:f>
        <x:v>PAID</x:v>
      </x:c>
      <x:c r="I23" s="11" t="str">
        <x:v>0300-1000022</x:v>
      </x:c>
      <x:c r="J23" s="18" t="n">
        <x:v>46039</x:v>
      </x:c>
    </x:row>
    <x:row r="24">
      <x:c r="A24" s="11" t="n">
        <x:v>23</x:v>
      </x:c>
      <x:c r="B24" s="11" t="str">
        <x:v>ST023</x:v>
      </x:c>
      <x:c r="C24" s="11" t="str">
        <x:v>Hania</x:v>
      </x:c>
      <x:c r="D24" s="11" t="str">
        <x:v>January</x:v>
      </x:c>
      <x:c r="E24" s="16" t="n">
        <x:v>1600</x:v>
      </x:c>
      <x:c r="F24" s="16" t="n">
        <x:v>1600</x:v>
      </x:c>
      <x:c r="G24" s="16" t="n">
        <x:f>E24-F24</x:f>
        <x:v>0</x:v>
      </x:c>
      <x:c r="H24" s="11" t="str">
        <x:f>IF(G24&lt;=0,"PAID",IF(F24=0,"UNPAID","PARTIAL"))</x:f>
        <x:v>PAID</x:v>
      </x:c>
      <x:c r="I24" s="11" t="str">
        <x:v>0300-1000023</x:v>
      </x:c>
      <x:c r="J24" s="18" t="n">
        <x:v>46041</x:v>
      </x:c>
    </x:row>
    <x:row r="25">
      <x:c r="A25" s="11" t="n">
        <x:v>24</x:v>
      </x:c>
      <x:c r="B25" s="11" t="str">
        <x:v>ST024</x:v>
      </x:c>
      <x:c r="C25" s="11" t="str">
        <x:v>Haris</x:v>
      </x:c>
      <x:c r="D25" s="11" t="str">
        <x:v>January</x:v>
      </x:c>
      <x:c r="E25" s="16" t="n">
        <x:v>1900</x:v>
      </x:c>
      <x:c r="F25" s="16" t="n">
        <x:v>1600</x:v>
      </x:c>
      <x:c r="G25" s="16" t="n">
        <x:f>E25-F25</x:f>
        <x:v>300</x:v>
      </x:c>
      <x:c r="H25" s="11" t="str">
        <x:f>IF(G25&lt;=0,"PAID",IF(F25=0,"UNPAID","PARTIAL"))</x:f>
        <x:v>PARTIAL</x:v>
      </x:c>
      <x:c r="I25" s="11" t="str">
        <x:v>0300-1000024</x:v>
      </x:c>
      <x:c r="J25" s="18" t="n">
        <x:v>46043</x:v>
      </x:c>
    </x:row>
    <x:row r="26">
      <x:c r="A26" s="11" t="n">
        <x:v>25</x:v>
      </x:c>
      <x:c r="B26" s="11" t="str">
        <x:v>ST025</x:v>
      </x:c>
      <x:c r="C26" s="11" t="str">
        <x:v>Hassan</x:v>
      </x:c>
      <x:c r="D26" s="11" t="str">
        <x:v>January</x:v>
      </x:c>
      <x:c r="E26" s="16" t="n">
        <x:v>2200</x:v>
      </x:c>
      <x:c r="F26" s="16" t="n">
        <x:v>2200</x:v>
      </x:c>
      <x:c r="G26" s="16" t="n">
        <x:f>E26-F26</x:f>
        <x:v>0</x:v>
      </x:c>
      <x:c r="H26" s="11" t="str">
        <x:f>IF(G26&lt;=0,"PAID",IF(F26=0,"UNPAID","PARTIAL"))</x:f>
        <x:v>PAID</x:v>
      </x:c>
      <x:c r="I26" s="11" t="str">
        <x:v>0300-1000025</x:v>
      </x:c>
      <x:c r="J26" s="18" t="n">
        <x:v>46045</x:v>
      </x:c>
    </x:row>
    <x:row r="27">
      <x:c r="A27" s="11" t="n">
        <x:v>26</x:v>
      </x:c>
      <x:c r="B27" s="11" t="str">
        <x:v>ST026</x:v>
      </x:c>
      <x:c r="C27" s="11" t="str">
        <x:v>Hira</x:v>
      </x:c>
      <x:c r="D27" s="11" t="str">
        <x:v>January</x:v>
      </x:c>
      <x:c r="E27" s="16" t="n">
        <x:v>2500</x:v>
      </x:c>
      <x:c r="F27" s="16" t="n">
        <x:v>2500</x:v>
      </x:c>
      <x:c r="G27" s="16" t="n">
        <x:f>E27-F27</x:f>
        <x:v>0</x:v>
      </x:c>
      <x:c r="H27" s="11" t="str">
        <x:f>IF(G27&lt;=0,"PAID",IF(F27=0,"UNPAID","PARTIAL"))</x:f>
        <x:v>PAID</x:v>
      </x:c>
      <x:c r="I27" s="11" t="str">
        <x:v>0300-1000026</x:v>
      </x:c>
      <x:c r="J27" s="18" t="n">
        <x:v>46047</x:v>
      </x:c>
    </x:row>
    <x:row r="28">
      <x:c r="A28" s="11" t="n">
        <x:v>27</x:v>
      </x:c>
      <x:c r="B28" s="11" t="str">
        <x:v>ST027</x:v>
      </x:c>
      <x:c r="C28" s="11" t="str">
        <x:v>Imran</x:v>
      </x:c>
      <x:c r="D28" s="11" t="str">
        <x:v>January</x:v>
      </x:c>
      <x:c r="E28" s="16" t="n">
        <x:v>3000</x:v>
      </x:c>
      <x:c r="F28" s="16" t="n">
        <x:v>3000</x:v>
      </x:c>
      <x:c r="G28" s="16" t="n">
        <x:f>E28-F28</x:f>
        <x:v>0</x:v>
      </x:c>
      <x:c r="H28" s="11" t="str">
        <x:f>IF(G28&lt;=0,"PAID",IF(F28=0,"UNPAID","PARTIAL"))</x:f>
        <x:v>PAID</x:v>
      </x:c>
      <x:c r="I28" s="11" t="str">
        <x:v>0300-1000027</x:v>
      </x:c>
      <x:c r="J28" s="18" t="n">
        <x:v>46049</x:v>
      </x:c>
    </x:row>
    <x:row r="29">
      <x:c r="A29" s="11" t="n">
        <x:v>28</x:v>
      </x:c>
      <x:c r="B29" s="11" t="str">
        <x:v>ST028</x:v>
      </x:c>
      <x:c r="C29" s="11" t="str">
        <x:v>Iqra</x:v>
      </x:c>
      <x:c r="D29" s="11" t="str">
        <x:v>January</x:v>
      </x:c>
      <x:c r="E29" s="16" t="n">
        <x:v>1100</x:v>
      </x:c>
      <x:c r="F29" s="16" t="n">
        <x:v>700</x:v>
      </x:c>
      <x:c r="G29" s="16" t="n">
        <x:f>E29-F29</x:f>
        <x:v>400</x:v>
      </x:c>
      <x:c r="H29" s="11" t="str">
        <x:f>IF(G29&lt;=0,"PAID",IF(F29=0,"UNPAID","PARTIAL"))</x:f>
        <x:v>PARTIAL</x:v>
      </x:c>
      <x:c r="I29" s="11" t="str">
        <x:v>0300-1000028</x:v>
      </x:c>
      <x:c r="J29" s="18" t="n">
        <x:v>46023</x:v>
      </x:c>
    </x:row>
    <x:row r="30">
      <x:c r="A30" s="11" t="n">
        <x:v>29</x:v>
      </x:c>
      <x:c r="B30" s="11" t="str">
        <x:v>ST029</x:v>
      </x:c>
      <x:c r="C30" s="11" t="str">
        <x:v>Junaid</x:v>
      </x:c>
      <x:c r="D30" s="11" t="str">
        <x:v>January</x:v>
      </x:c>
      <x:c r="E30" s="16" t="n">
        <x:v>1300</x:v>
      </x:c>
      <x:c r="F30" s="16" t="n">
        <x:v>700</x:v>
      </x:c>
      <x:c r="G30" s="16" t="n">
        <x:f>E30-F30</x:f>
        <x:v>600</x:v>
      </x:c>
      <x:c r="H30" s="11" t="str">
        <x:f>IF(G30&lt;=0,"PAID",IF(F30=0,"UNPAID","PARTIAL"))</x:f>
        <x:v>PARTIAL</x:v>
      </x:c>
      <x:c r="I30" s="11" t="str">
        <x:v>0300-1000029</x:v>
      </x:c>
      <x:c r="J30" s="18" t="n">
        <x:v>46025</x:v>
      </x:c>
    </x:row>
    <x:row r="31">
      <x:c r="A31" s="11" t="n">
        <x:v>30</x:v>
      </x:c>
      <x:c r="B31" s="11" t="str">
        <x:v>ST030</x:v>
      </x:c>
      <x:c r="C31" s="11" t="str">
        <x:v>Khadija</x:v>
      </x:c>
      <x:c r="D31" s="11" t="str">
        <x:v>January</x:v>
      </x:c>
      <x:c r="E31" s="16" t="n">
        <x:v>1400</x:v>
      </x:c>
      <x:c r="F31" s="16" t="n">
        <x:v>1400</x:v>
      </x:c>
      <x:c r="G31" s="16" t="n">
        <x:f>E31-F31</x:f>
        <x:v>0</x:v>
      </x:c>
      <x:c r="H31" s="11" t="str">
        <x:f>IF(G31&lt;=0,"PAID",IF(F31=0,"UNPAID","PARTIAL"))</x:f>
        <x:v>PAID</x:v>
      </x:c>
      <x:c r="I31" s="11" t="str">
        <x:v>0300-1000030</x:v>
      </x:c>
      <x:c r="J31" s="18" t="n">
        <x:v>46027</x:v>
      </x:c>
    </x:row>
    <x:row r="32">
      <x:c r="A32" s="11" t="n">
        <x:v>31</x:v>
      </x:c>
      <x:c r="B32" s="11" t="str">
        <x:v>ST031</x:v>
      </x:c>
      <x:c r="C32" s="11" t="str">
        <x:v>Kinza</x:v>
      </x:c>
      <x:c r="D32" s="11" t="str">
        <x:v>January</x:v>
      </x:c>
      <x:c r="E32" s="16" t="n">
        <x:v>1500</x:v>
      </x:c>
      <x:c r="F32" s="16" t="n">
        <x:v>1500</x:v>
      </x:c>
      <x:c r="G32" s="16" t="n">
        <x:f>E32-F32</x:f>
        <x:v>0</x:v>
      </x:c>
      <x:c r="H32" s="11" t="str">
        <x:f>IF(G32&lt;=0,"PAID",IF(F32=0,"UNPAID","PARTIAL"))</x:f>
        <x:v>PAID</x:v>
      </x:c>
      <x:c r="I32" s="11" t="str">
        <x:v>0300-1000031</x:v>
      </x:c>
      <x:c r="J32" s="18" t="n">
        <x:v>46029</x:v>
      </x:c>
    </x:row>
    <x:row r="33">
      <x:c r="A33" s="11" t="n">
        <x:v>32</x:v>
      </x:c>
      <x:c r="B33" s="11" t="str">
        <x:v>ST032</x:v>
      </x:c>
      <x:c r="C33" s="11" t="str">
        <x:v>Laiba</x:v>
      </x:c>
      <x:c r="D33" s="11" t="str">
        <x:v>January</x:v>
      </x:c>
      <x:c r="E33" s="16" t="n">
        <x:v>1600</x:v>
      </x:c>
      <x:c r="F33" s="16" t="n">
        <x:v>1600</x:v>
      </x:c>
      <x:c r="G33" s="16" t="n">
        <x:f>E33-F33</x:f>
        <x:v>0</x:v>
      </x:c>
      <x:c r="H33" s="11" t="str">
        <x:f>IF(G33&lt;=0,"PAID",IF(F33=0,"UNPAID","PARTIAL"))</x:f>
        <x:v>PAID</x:v>
      </x:c>
      <x:c r="I33" s="11" t="str">
        <x:v>0300-1000032</x:v>
      </x:c>
      <x:c r="J33" s="18" t="n">
        <x:v>46031</x:v>
      </x:c>
    </x:row>
    <x:row r="34">
      <x:c r="A34" s="11" t="n">
        <x:v>33</x:v>
      </x:c>
      <x:c r="B34" s="11" t="str">
        <x:v>ST033</x:v>
      </x:c>
      <x:c r="C34" s="11" t="str">
        <x:v>Maham</x:v>
      </x:c>
      <x:c r="D34" s="11" t="str">
        <x:v>January</x:v>
      </x:c>
      <x:c r="E34" s="16" t="n">
        <x:v>1700</x:v>
      </x:c>
      <x:c r="F34" s="16" t="n">
        <x:v>1700</x:v>
      </x:c>
      <x:c r="G34" s="16" t="n">
        <x:f>E34-F34</x:f>
        <x:v>0</x:v>
      </x:c>
      <x:c r="H34" s="11" t="str">
        <x:f>IF(G34&lt;=0,"PAID",IF(F34=0,"UNPAID","PARTIAL"))</x:f>
        <x:v>PAID</x:v>
      </x:c>
      <x:c r="I34" s="11" t="str">
        <x:v>0300-1000033</x:v>
      </x:c>
      <x:c r="J34" s="18" t="n">
        <x:v>46033</x:v>
      </x:c>
    </x:row>
    <x:row r="35">
      <x:c r="A35" s="11" t="n">
        <x:v>34</x:v>
      </x:c>
      <x:c r="B35" s="11" t="str">
        <x:v>ST034</x:v>
      </x:c>
      <x:c r="C35" s="11" t="str">
        <x:v>Maryam</x:v>
      </x:c>
      <x:c r="D35" s="11" t="str">
        <x:v>January</x:v>
      </x:c>
      <x:c r="E35" s="16" t="n">
        <x:v>1800</x:v>
      </x:c>
      <x:c r="F35" s="16" t="n">
        <x:v>1800</x:v>
      </x:c>
      <x:c r="G35" s="16" t="n">
        <x:f>E35-F35</x:f>
        <x:v>0</x:v>
      </x:c>
      <x:c r="H35" s="11" t="str">
        <x:f>IF(G35&lt;=0,"PAID",IF(F35=0,"UNPAID","PARTIAL"))</x:f>
        <x:v>PAID</x:v>
      </x:c>
      <x:c r="I35" s="11" t="str">
        <x:v>0300-1000034</x:v>
      </x:c>
      <x:c r="J35" s="18" t="n">
        <x:v>46035</x:v>
      </x:c>
    </x:row>
    <x:row r="36">
      <x:c r="A36" s="11" t="n">
        <x:v>35</x:v>
      </x:c>
      <x:c r="B36" s="11" t="str">
        <x:v>ST035</x:v>
      </x:c>
      <x:c r="C36" s="11" t="str">
        <x:v>Mehak</x:v>
      </x:c>
      <x:c r="D36" s="11" t="str">
        <x:v>January</x:v>
      </x:c>
      <x:c r="E36" s="16" t="n">
        <x:v>1900</x:v>
      </x:c>
      <x:c r="F36" s="16" t="n">
        <x:v>1900</x:v>
      </x:c>
      <x:c r="G36" s="16" t="n">
        <x:f>E36-F36</x:f>
        <x:v>0</x:v>
      </x:c>
      <x:c r="H36" s="11" t="str">
        <x:f>IF(G36&lt;=0,"PAID",IF(F36=0,"UNPAID","PARTIAL"))</x:f>
        <x:v>PAID</x:v>
      </x:c>
      <x:c r="I36" s="11" t="str">
        <x:v>0300-1000035</x:v>
      </x:c>
      <x:c r="J36" s="18" t="n">
        <x:v>46037</x:v>
      </x:c>
    </x:row>
    <x:row r="37">
      <x:c r="A37" s="11" t="n">
        <x:v>36</x:v>
      </x:c>
      <x:c r="B37" s="11" t="str">
        <x:v>ST036</x:v>
      </x:c>
      <x:c r="C37" s="11" t="str">
        <x:v>Minahil</x:v>
      </x:c>
      <x:c r="D37" s="11" t="str">
        <x:v>January</x:v>
      </x:c>
      <x:c r="E37" s="16" t="n">
        <x:v>2000</x:v>
      </x:c>
      <x:c r="F37" s="16" t="n">
        <x:v>2000</x:v>
      </x:c>
      <x:c r="G37" s="16" t="n">
        <x:f>E37-F37</x:f>
        <x:v>0</x:v>
      </x:c>
      <x:c r="H37" s="11" t="str">
        <x:f>IF(G37&lt;=0,"PAID",IF(F37=0,"UNPAID","PARTIAL"))</x:f>
        <x:v>PAID</x:v>
      </x:c>
      <x:c r="I37" s="11" t="str">
        <x:v>0300-1000036</x:v>
      </x:c>
      <x:c r="J37" s="18" t="n">
        <x:v>46039</x:v>
      </x:c>
    </x:row>
    <x:row r="38">
      <x:c r="A38" s="11" t="n">
        <x:v>37</x:v>
      </x:c>
      <x:c r="B38" s="11" t="str">
        <x:v>ST037</x:v>
      </x:c>
      <x:c r="C38" s="11" t="str">
        <x:v>Mustafa</x:v>
      </x:c>
      <x:c r="D38" s="11" t="str">
        <x:v>January</x:v>
      </x:c>
      <x:c r="E38" s="16" t="n">
        <x:v>2100</x:v>
      </x:c>
      <x:c r="F38" s="16" t="n">
        <x:v>2100</x:v>
      </x:c>
      <x:c r="G38" s="16" t="n">
        <x:f>E38-F38</x:f>
        <x:v>0</x:v>
      </x:c>
      <x:c r="H38" s="11" t="str">
        <x:f>IF(G38&lt;=0,"PAID",IF(F38=0,"UNPAID","PARTIAL"))</x:f>
        <x:v>PAID</x:v>
      </x:c>
      <x:c r="I38" s="11" t="str">
        <x:v>0300-1000037</x:v>
      </x:c>
      <x:c r="J38" s="18" t="n">
        <x:v>46041</x:v>
      </x:c>
    </x:row>
    <x:row r="39">
      <x:c r="A39" s="11" t="n">
        <x:v>38</x:v>
      </x:c>
      <x:c r="B39" s="11" t="str">
        <x:v>ST038</x:v>
      </x:c>
      <x:c r="C39" s="11" t="str">
        <x:v>Nimra</x:v>
      </x:c>
      <x:c r="D39" s="11" t="str">
        <x:v>January</x:v>
      </x:c>
      <x:c r="E39" s="16" t="n">
        <x:v>2200</x:v>
      </x:c>
      <x:c r="F39" s="16" t="n">
        <x:v>2200</x:v>
      </x:c>
      <x:c r="G39" s="16" t="n">
        <x:f>E39-F39</x:f>
        <x:v>0</x:v>
      </x:c>
      <x:c r="H39" s="11" t="str">
        <x:f>IF(G39&lt;=0,"PAID",IF(F39=0,"UNPAID","PARTIAL"))</x:f>
        <x:v>PAID</x:v>
      </x:c>
      <x:c r="I39" s="11" t="str">
        <x:v>0300-1000038</x:v>
      </x:c>
      <x:c r="J39" s="18" t="n">
        <x:v>46043</x:v>
      </x:c>
    </x:row>
    <x:row r="40">
      <x:c r="A40" s="11" t="n">
        <x:v>39</x:v>
      </x:c>
      <x:c r="B40" s="11" t="str">
        <x:v>ST039</x:v>
      </x:c>
      <x:c r="C40" s="11" t="str">
        <x:v>Noor</x:v>
      </x:c>
      <x:c r="D40" s="11" t="str">
        <x:v>January</x:v>
      </x:c>
      <x:c r="E40" s="16" t="n">
        <x:v>2300</x:v>
      </x:c>
      <x:c r="F40" s="16" t="n">
        <x:v>2300</x:v>
      </x:c>
      <x:c r="G40" s="16" t="n">
        <x:f>E40-F40</x:f>
        <x:v>0</x:v>
      </x:c>
      <x:c r="H40" s="11" t="str">
        <x:f>IF(G40&lt;=0,"PAID",IF(F40=0,"UNPAID","PARTIAL"))</x:f>
        <x:v>PAID</x:v>
      </x:c>
      <x:c r="I40" s="11" t="str">
        <x:v>0300-1000039</x:v>
      </x:c>
      <x:c r="J40" s="18" t="n">
        <x:v>46045</x:v>
      </x:c>
    </x:row>
    <x:row r="41">
      <x:c r="A41" s="11" t="n">
        <x:v>40</x:v>
      </x:c>
      <x:c r="B41" s="11" t="str">
        <x:v>ST040</x:v>
      </x:c>
      <x:c r="C41" s="11" t="str">
        <x:v>Rabia</x:v>
      </x:c>
      <x:c r="D41" s="11" t="str">
        <x:v>January</x:v>
      </x:c>
      <x:c r="E41" s="16" t="n">
        <x:v>2400</x:v>
      </x:c>
      <x:c r="F41" s="16" t="n">
        <x:v>2400</x:v>
      </x:c>
      <x:c r="G41" s="16" t="n">
        <x:f>E41-F41</x:f>
        <x:v>0</x:v>
      </x:c>
      <x:c r="H41" s="11" t="str">
        <x:f>IF(G41&lt;=0,"PAID",IF(F41=0,"UNPAID","PARTIAL"))</x:f>
        <x:v>PAID</x:v>
      </x:c>
      <x:c r="I41" s="11" t="str">
        <x:v>0300-1000040</x:v>
      </x:c>
      <x:c r="J41" s="18" t="n">
        <x:v>46047</x:v>
      </x:c>
    </x:row>
    <x:row r="42">
      <x:c r="A42" s="11" t="n">
        <x:v>41</x:v>
      </x:c>
      <x:c r="B42" s="11" t="str">
        <x:v>ST041</x:v>
      </x:c>
      <x:c r="C42" s="11" t="str">
        <x:v>Rayyan</x:v>
      </x:c>
      <x:c r="D42" s="11" t="str">
        <x:v>January</x:v>
      </x:c>
      <x:c r="E42" s="16" t="n">
        <x:v>2500</x:v>
      </x:c>
      <x:c r="F42" s="16" t="n">
        <x:v>2500</x:v>
      </x:c>
      <x:c r="G42" s="16" t="n">
        <x:f>E42-F42</x:f>
        <x:v>0</x:v>
      </x:c>
      <x:c r="H42" s="11" t="str">
        <x:f>IF(G42&lt;=0,"PAID",IF(F42=0,"UNPAID","PARTIAL"))</x:f>
        <x:v>PAID</x:v>
      </x:c>
      <x:c r="I42" s="11" t="str">
        <x:v>0300-1000041</x:v>
      </x:c>
      <x:c r="J42" s="18" t="n">
        <x:v>46049</x:v>
      </x:c>
    </x:row>
    <x:row r="43">
      <x:c r="A43" s="11" t="n">
        <x:v>42</x:v>
      </x:c>
      <x:c r="B43" s="11" t="str">
        <x:v>ST042</x:v>
      </x:c>
      <x:c r="C43" s="11" t="str">
        <x:v>Rizwan</x:v>
      </x:c>
      <x:c r="D43" s="11" t="str">
        <x:v>January</x:v>
      </x:c>
      <x:c r="E43" s="16" t="n">
        <x:v>2600</x:v>
      </x:c>
      <x:c r="F43" s="16" t="n">
        <x:v>2600</x:v>
      </x:c>
      <x:c r="G43" s="16" t="n">
        <x:f>E43-F43</x:f>
        <x:v>0</x:v>
      </x:c>
      <x:c r="H43" s="11" t="str">
        <x:f>IF(G43&lt;=0,"PAID",IF(F43=0,"UNPAID","PARTIAL"))</x:f>
        <x:v>PAID</x:v>
      </x:c>
      <x:c r="I43" s="11" t="str">
        <x:v>0300-1000042</x:v>
      </x:c>
      <x:c r="J43" s="18" t="n">
        <x:v>46023</x:v>
      </x:c>
    </x:row>
    <x:row r="44">
      <x:c r="A44" s="11" t="n">
        <x:v>43</x:v>
      </x:c>
      <x:c r="B44" s="11" t="str">
        <x:v>ST043</x:v>
      </x:c>
      <x:c r="C44" s="11" t="str">
        <x:v>Saad</x:v>
      </x:c>
      <x:c r="D44" s="11" t="str">
        <x:v>January</x:v>
      </x:c>
      <x:c r="E44" s="16" t="n">
        <x:v>2700</x:v>
      </x:c>
      <x:c r="F44" s="16" t="n">
        <x:v>2700</x:v>
      </x:c>
      <x:c r="G44" s="16" t="n">
        <x:f>E44-F44</x:f>
        <x:v>0</x:v>
      </x:c>
      <x:c r="H44" s="11" t="str">
        <x:f>IF(G44&lt;=0,"PAID",IF(F44=0,"UNPAID","PARTIAL"))</x:f>
        <x:v>PAID</x:v>
      </x:c>
      <x:c r="I44" s="11" t="str">
        <x:v>0300-1000043</x:v>
      </x:c>
      <x:c r="J44" s="18" t="n">
        <x:v>46025</x:v>
      </x:c>
    </x:row>
    <x:row r="45">
      <x:c r="A45" s="11" t="n">
        <x:v>44</x:v>
      </x:c>
      <x:c r="B45" s="11" t="str">
        <x:v>ST044</x:v>
      </x:c>
      <x:c r="C45" s="11" t="str">
        <x:v>Saba</x:v>
      </x:c>
      <x:c r="D45" s="11" t="str">
        <x:v>January</x:v>
      </x:c>
      <x:c r="E45" s="16" t="n">
        <x:v>2800</x:v>
      </x:c>
      <x:c r="F45" s="16" t="n">
        <x:v>2800</x:v>
      </x:c>
      <x:c r="G45" s="16" t="n">
        <x:f>E45-F45</x:f>
        <x:v>0</x:v>
      </x:c>
      <x:c r="H45" s="11" t="str">
        <x:f>IF(G45&lt;=0,"PAID",IF(F45=0,"UNPAID","PARTIAL"))</x:f>
        <x:v>PAID</x:v>
      </x:c>
      <x:c r="I45" s="11" t="str">
        <x:v>0300-1000044</x:v>
      </x:c>
      <x:c r="J45" s="18" t="n">
        <x:v>46027</x:v>
      </x:c>
    </x:row>
    <x:row r="46">
      <x:c r="A46" s="11" t="n">
        <x:v>45</x:v>
      </x:c>
      <x:c r="B46" s="11" t="str">
        <x:v>ST045</x:v>
      </x:c>
      <x:c r="C46" s="11" t="str">
        <x:v>Salman</x:v>
      </x:c>
      <x:c r="D46" s="11" t="str">
        <x:v>January</x:v>
      </x:c>
      <x:c r="E46" s="16" t="n">
        <x:v>3000</x:v>
      </x:c>
      <x:c r="F46" s="16" t="n">
        <x:v>3000</x:v>
      </x:c>
      <x:c r="G46" s="16" t="n">
        <x:f>E46-F46</x:f>
        <x:v>0</x:v>
      </x:c>
      <x:c r="H46" s="11" t="str">
        <x:f>IF(G46&lt;=0,"PAID",IF(F46=0,"UNPAID","PARTIAL"))</x:f>
        <x:v>PAID</x:v>
      </x:c>
      <x:c r="I46" s="11" t="str">
        <x:v>0300-1000045</x:v>
      </x:c>
      <x:c r="J46" s="18" t="n">
        <x:v>46029</x:v>
      </x:c>
    </x:row>
    <x:row r="47">
      <x:c r="A47" s="11" t="n">
        <x:v>46</x:v>
      </x:c>
      <x:c r="B47" s="11" t="str">
        <x:v>ST046</x:v>
      </x:c>
      <x:c r="C47" s="11" t="str">
        <x:v>Sana</x:v>
      </x:c>
      <x:c r="D47" s="11" t="str">
        <x:v>January</x:v>
      </x:c>
      <x:c r="E47" s="16" t="n">
        <x:v>1200</x:v>
      </x:c>
      <x:c r="F47" s="16" t="n">
        <x:v>1200</x:v>
      </x:c>
      <x:c r="G47" s="16" t="n">
        <x:f>E47-F47</x:f>
        <x:v>0</x:v>
      </x:c>
      <x:c r="H47" s="11" t="str">
        <x:f>IF(G47&lt;=0,"PAID",IF(F47=0,"UNPAID","PARTIAL"))</x:f>
        <x:v>PAID</x:v>
      </x:c>
      <x:c r="I47" s="11" t="str">
        <x:v>0300-1000046</x:v>
      </x:c>
      <x:c r="J47" s="18" t="n">
        <x:v>46031</x:v>
      </x:c>
    </x:row>
    <x:row r="48">
      <x:c r="A48" s="11" t="n">
        <x:v>47</x:v>
      </x:c>
      <x:c r="B48" s="11" t="str">
        <x:v>ST047</x:v>
      </x:c>
      <x:c r="C48" s="11" t="str">
        <x:v>Shahzaib</x:v>
      </x:c>
      <x:c r="D48" s="11" t="str">
        <x:v>January</x:v>
      </x:c>
      <x:c r="E48" s="16" t="n">
        <x:v>1300</x:v>
      </x:c>
      <x:c r="F48" s="16" t="n">
        <x:v>1300</x:v>
      </x:c>
      <x:c r="G48" s="16" t="n">
        <x:f>E48-F48</x:f>
        <x:v>0</x:v>
      </x:c>
      <x:c r="H48" s="11" t="str">
        <x:f>IF(G48&lt;=0,"PAID",IF(F48=0,"UNPAID","PARTIAL"))</x:f>
        <x:v>PAID</x:v>
      </x:c>
      <x:c r="I48" s="11" t="str">
        <x:v>0300-1000047</x:v>
      </x:c>
      <x:c r="J48" s="18" t="n">
        <x:v>46033</x:v>
      </x:c>
    </x:row>
    <x:row r="49">
      <x:c r="A49" s="11" t="n">
        <x:v>48</x:v>
      </x:c>
      <x:c r="B49" s="11" t="str">
        <x:v>ST048</x:v>
      </x:c>
      <x:c r="C49" s="11" t="str">
        <x:v>Taha</x:v>
      </x:c>
      <x:c r="D49" s="11" t="str">
        <x:v>January</x:v>
      </x:c>
      <x:c r="E49" s="16" t="n">
        <x:v>1400</x:v>
      </x:c>
      <x:c r="F49" s="16" t="n">
        <x:v>1400</x:v>
      </x:c>
      <x:c r="G49" s="16" t="n">
        <x:f>E49-F49</x:f>
        <x:v>0</x:v>
      </x:c>
      <x:c r="H49" s="11" t="str">
        <x:f>IF(G49&lt;=0,"PAID",IF(F49=0,"UNPAID","PARTIAL"))</x:f>
        <x:v>PAID</x:v>
      </x:c>
      <x:c r="I49" s="11" t="str">
        <x:v>0300-1000048</x:v>
      </x:c>
      <x:c r="J49" s="18" t="n">
        <x:v>46035</x:v>
      </x:c>
    </x:row>
    <x:row r="50">
      <x:c r="A50" s="11" t="n">
        <x:v>49</x:v>
      </x:c>
      <x:c r="B50" s="11" t="str">
        <x:v>ST049</x:v>
      </x:c>
      <x:c r="C50" s="11" t="str">
        <x:v>Talha</x:v>
      </x:c>
      <x:c r="D50" s="11" t="str">
        <x:v>January</x:v>
      </x:c>
      <x:c r="E50" s="16" t="n">
        <x:v>1500</x:v>
      </x:c>
      <x:c r="F50" s="16" t="n">
        <x:v>1500</x:v>
      </x:c>
      <x:c r="G50" s="16" t="n">
        <x:f>E50-F50</x:f>
        <x:v>0</x:v>
      </x:c>
      <x:c r="H50" s="11" t="str">
        <x:f>IF(G50&lt;=0,"PAID",IF(F50=0,"UNPAID","PARTIAL"))</x:f>
        <x:v>PAID</x:v>
      </x:c>
      <x:c r="I50" s="11" t="str">
        <x:v>0300-1000049</x:v>
      </x:c>
      <x:c r="J50" s="18" t="n">
        <x:v>46037</x:v>
      </x:c>
    </x:row>
    <x:row r="51">
      <x:c r="A51" s="11" t="n">
        <x:v>50</x:v>
      </x:c>
      <x:c r="B51" s="11" t="str">
        <x:v>ST050</x:v>
      </x:c>
      <x:c r="C51" s="11" t="str">
        <x:v>Umar</x:v>
      </x:c>
      <x:c r="D51" s="11" t="str">
        <x:v>January</x:v>
      </x:c>
      <x:c r="E51" s="16" t="n">
        <x:v>1600</x:v>
      </x:c>
      <x:c r="F51" s="16" t="n">
        <x:v>1600</x:v>
      </x:c>
      <x:c r="G51" s="16" t="n">
        <x:f>E51-F51</x:f>
        <x:v>0</x:v>
      </x:c>
      <x:c r="H51" s="11" t="str">
        <x:f>IF(G51&lt;=0,"PAID",IF(F51=0,"UNPAID","PARTIAL"))</x:f>
        <x:v>PAID</x:v>
      </x:c>
      <x:c r="I51" s="11" t="str">
        <x:v>0300-1000050</x:v>
      </x:c>
      <x:c r="J51" s="18" t="n">
        <x:v>46039</x:v>
      </x:c>
    </x:row>
    <x:row r="52">
      <x:c r="A52" s="11" t="n">
        <x:v>51</x:v>
      </x:c>
      <x:c r="B52" s="11" t="str">
        <x:v>ST051</x:v>
      </x:c>
      <x:c r="C52" s="11" t="str">
        <x:v>Usman</x:v>
      </x:c>
      <x:c r="D52" s="11" t="str">
        <x:v>January</x:v>
      </x:c>
      <x:c r="E52" s="16" t="n">
        <x:v>1700</x:v>
      </x:c>
      <x:c r="F52" s="16" t="n">
        <x:v>1700</x:v>
      </x:c>
      <x:c r="G52" s="16" t="n">
        <x:f>E52-F52</x:f>
        <x:v>0</x:v>
      </x:c>
      <x:c r="H52" s="11" t="str">
        <x:f>IF(G52&lt;=0,"PAID",IF(F52=0,"UNPAID","PARTIAL"))</x:f>
        <x:v>PAID</x:v>
      </x:c>
      <x:c r="I52" s="11" t="str">
        <x:v>0300-1000051</x:v>
      </x:c>
      <x:c r="J52" s="18" t="n">
        <x:v>46041</x:v>
      </x:c>
    </x:row>
    <x:row r="53">
      <x:c r="A53" s="11" t="n">
        <x:v>52</x:v>
      </x:c>
      <x:c r="B53" s="11" t="str">
        <x:v>ST052</x:v>
      </x:c>
      <x:c r="C53" s="11" t="str">
        <x:v>Waqas</x:v>
      </x:c>
      <x:c r="D53" s="11" t="str">
        <x:v>January</x:v>
      </x:c>
      <x:c r="E53" s="16" t="n">
        <x:v>1800</x:v>
      </x:c>
      <x:c r="F53" s="16" t="n">
        <x:v>1800</x:v>
      </x:c>
      <x:c r="G53" s="16" t="n">
        <x:f>E53-F53</x:f>
        <x:v>0</x:v>
      </x:c>
      <x:c r="H53" s="11" t="str">
        <x:f>IF(G53&lt;=0,"PAID",IF(F53=0,"UNPAID","PARTIAL"))</x:f>
        <x:v>PAID</x:v>
      </x:c>
      <x:c r="I53" s="11" t="str">
        <x:v>0300-1000052</x:v>
      </x:c>
      <x:c r="J53" s="18" t="n">
        <x:v>46043</x:v>
      </x:c>
    </x:row>
    <x:row r="54">
      <x:c r="A54" s="11" t="n">
        <x:v>53</x:v>
      </x:c>
      <x:c r="B54" s="11" t="str">
        <x:v>ST053</x:v>
      </x:c>
      <x:c r="C54" s="11" t="str">
        <x:v>Zain</x:v>
      </x:c>
      <x:c r="D54" s="11" t="str">
        <x:v>January</x:v>
      </x:c>
      <x:c r="E54" s="16" t="n">
        <x:v>1900</x:v>
      </x:c>
      <x:c r="F54" s="16" t="n">
        <x:v>1900</x:v>
      </x:c>
      <x:c r="G54" s="16" t="n">
        <x:f>E54-F54</x:f>
        <x:v>0</x:v>
      </x:c>
      <x:c r="H54" s="11" t="str">
        <x:f>IF(G54&lt;=0,"PAID",IF(F54=0,"UNPAID","PARTIAL"))</x:f>
        <x:v>PAID</x:v>
      </x:c>
      <x:c r="I54" s="11" t="str">
        <x:v>0300-1000053</x:v>
      </x:c>
      <x:c r="J54" s="18" t="n">
        <x:v>46045</x:v>
      </x:c>
    </x:row>
    <x:row r="55">
      <x:c r="A55" s="11" t="n">
        <x:v>54</x:v>
      </x:c>
      <x:c r="B55" s="11" t="str">
        <x:v>ST054</x:v>
      </x:c>
      <x:c r="C55" s="11" t="str">
        <x:v>Zainab</x:v>
      </x:c>
      <x:c r="D55" s="11" t="str">
        <x:v>January</x:v>
      </x:c>
      <x:c r="E55" s="16" t="n">
        <x:v>2000</x:v>
      </x:c>
      <x:c r="F55" s="16" t="n">
        <x:v>2000</x:v>
      </x:c>
      <x:c r="G55" s="16" t="n">
        <x:f>E55-F55</x:f>
        <x:v>0</x:v>
      </x:c>
      <x:c r="H55" s="11" t="str">
        <x:f>IF(G55&lt;=0,"PAID",IF(F55=0,"UNPAID","PARTIAL"))</x:f>
        <x:v>PAID</x:v>
      </x:c>
      <x:c r="I55" s="11" t="str">
        <x:v>0300-1000054</x:v>
      </x:c>
      <x:c r="J55" s="18" t="n">
        <x:v>46047</x:v>
      </x:c>
    </x:row>
    <x:row r="56">
      <x:c r="A56" s="11" t="n">
        <x:v>55</x:v>
      </x:c>
      <x:c r="B56" s="11" t="str">
        <x:v>ST055</x:v>
      </x:c>
      <x:c r="C56" s="11" t="str">
        <x:v>Zara</x:v>
      </x:c>
      <x:c r="D56" s="11" t="str">
        <x:v>January</x:v>
      </x:c>
      <x:c r="E56" s="16" t="n">
        <x:v>2100</x:v>
      </x:c>
      <x:c r="F56" s="16" t="n">
        <x:v>2100</x:v>
      </x:c>
      <x:c r="G56" s="16" t="n">
        <x:f>E56-F56</x:f>
        <x:v>0</x:v>
      </x:c>
      <x:c r="H56" s="11" t="str">
        <x:f>IF(G56&lt;=0,"PAID",IF(F56=0,"UNPAID","PARTIAL"))</x:f>
        <x:v>PAID</x:v>
      </x:c>
      <x:c r="I56" s="11" t="str">
        <x:v>0300-1000055</x:v>
      </x:c>
      <x:c r="J56" s="18" t="n">
        <x:v>46049</x:v>
      </x:c>
    </x:row>
  </x:sheetData>
  <x:conditionalFormatting sqref="H2:H56">
    <x:cfRule type="expression" dxfId="11" priority="1">
      <x:formula>H2="PAID"</x:formula>
    </x:cfRule>
    <x:cfRule type="expression" dxfId="12" priority="2">
      <x:formula>H2="PARTIAL"</x:formula>
    </x:cfRule>
    <x:cfRule type="expression" dxfId="13" priority="3">
      <x:formula>H2="UNPAID"</x:formula>
    </x:cfRule>
  </x:conditionalFormatting>
  <x:conditionalFormatting sqref="G2:G56">
    <x:cfRule type="dataBar" priority="4">
      <x:dataBar>
        <x:cfvo type="min"/>
        <x:cfvo type="max"/>
        <x:color rgb="EF4444"/>
      </x:dataBar>
      <x:extLst>
        <x:ext xmlns:x14="http://schemas.microsoft.com/office/spreadsheetml/2009/9/main" uri="{B025F937-C7B1-47D3-B67F-A62EFF666E3E}">
          <x14:id>{77DDB4FD-8613-5AC5-14F3-944D0528F095}</x14:id>
        </x:ext>
      </x:extLst>
    </x:cfRule>
  </x:conditionalFormatting>
  <x:dataValidations count="1">
    <x:dataValidation type="list" sqref="H2:H56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986a2153a54f3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77DDB4FD-8613-5AC5-14F3-944D0528F095}">
            <x14:dataBar gradient="1">
              <x14:cfvo type="min"/>
              <x14:cfvo type="max"/>
              <x14:fillColor rgb="EF4444"/>
            </x14:dataBar>
          </x14:cfRule>
          <xm:sqref>G2:G56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Fee Status</x:v>
      </x:c>
      <x:c r="B1" s="4" t="str">
        <x:v>Attendance</x:v>
      </x:c>
      <x:c r="C1" s="4" t="str">
        <x:v>Late Status</x:v>
      </x:c>
      <x:c r="D1" s="4" t="str">
        <x:v>Teacher Status</x:v>
      </x:c>
      <x:c r="E1" s="4" t="str">
        <x:v>Section</x:v>
      </x:c>
      <x:c r="F1" s="4" t="str">
        <x:v>Class</x:v>
      </x:c>
    </x:row>
    <x:row r="2">
      <x:c r="A2" t="str">
        <x:v>PAID</x:v>
      </x:c>
      <x:c r="B2" t="str">
        <x:v>Present</x:v>
      </x:c>
      <x:c r="C2" t="str">
        <x:v>On Time</x:v>
      </x:c>
      <x:c r="D2" t="str">
        <x:v>Present</x:v>
      </x:c>
      <x:c r="E2" t="str">
        <x:v>A</x:v>
      </x:c>
      <x:c r="F2" t="str">
        <x:v>Class 1</x:v>
      </x:c>
    </x:row>
    <x:row r="3">
      <x:c r="A3" t="str">
        <x:v>UNPAID</x:v>
      </x:c>
      <x:c r="B3" t="str">
        <x:v>Absent</x:v>
      </x:c>
      <x:c r="C3" t="str">
        <x:v>Late</x:v>
      </x:c>
      <x:c r="D3" t="str">
        <x:v>Absent</x:v>
      </x:c>
      <x:c r="E3" t="str">
        <x:v>B</x:v>
      </x:c>
      <x:c r="F3" t="str">
        <x:v>Class 2</x:v>
      </x:c>
    </x:row>
    <x:row r="4">
      <x:c r="A4" t="str">
        <x:v>PARTIAL</x:v>
      </x:c>
      <x:c r="B4" t="str">
        <x:v>Leave</x:v>
      </x:c>
      <x:c r="D4" t="str">
        <x:v>Leave</x:v>
      </x:c>
      <x:c r="E4" t="str">
        <x:v>C</x:v>
      </x:c>
      <x:c r="F4" t="str">
        <x:v>Class 3</x:v>
      </x:c>
    </x:row>
    <x:row r="5">
      <x:c r="A5" t="str">
        <x:v>WAIVED</x:v>
      </x:c>
      <x:c r="D5" t="str">
        <x:v>On Duty</x:v>
      </x:c>
      <x:c r="E5" t="str">
        <x:v>D</x:v>
      </x:c>
      <x:c r="F5" t="str">
        <x:v>Class 4</x:v>
      </x:c>
    </x:row>
    <x:row r="6">
      <x:c r="F6" t="str">
        <x:v>Class 5</x:v>
      </x:c>
    </x:row>
    <x:row r="7">
      <x:c r="F7" t="str">
        <x:v>Class 6</x:v>
      </x:c>
    </x:row>
    <x:row r="8">
      <x:c r="F8" t="str">
        <x:v>Class 7</x:v>
      </x:c>
    </x:row>
    <x:row r="9">
      <x:c r="F9" t="str">
        <x:v>Class 8</x:v>
      </x:c>
    </x:row>
    <x:row r="10">
      <x:c r="F10" t="str">
        <x:v>Class 9</x:v>
      </x:c>
    </x:row>
    <x:row r="11">
      <x:c r="F11" t="str">
        <x:v>Class 10</x:v>
      </x:c>
    </x:row>
  </x:sheetData>
  <x:pageMargins left="0.7" right="0.7" top="0.75" bottom="0.75" header="0.3" footer="0.3"/>
</x:worksheet>
</file>